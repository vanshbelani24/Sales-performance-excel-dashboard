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https://d.docs.live.net/e096550472d35019/Desktop/Excel Sales Analysis Project/"/>
    </mc:Choice>
  </mc:AlternateContent>
  <xr:revisionPtr revIDLastSave="41" documentId="13_ncr:1_{8AB89C78-6CAD-4129-8336-4855A48EF4F6}" xr6:coauthVersionLast="47" xr6:coauthVersionMax="47" xr10:uidLastSave="{2CF1987B-CCEA-47D4-9F39-5A01FFB77316}"/>
  <bookViews>
    <workbookView xWindow="-108" yWindow="-108" windowWidth="23256" windowHeight="12576" firstSheet="1" activeTab="4" xr2:uid="{9F459FAF-F370-4727-867E-44266726425D}"/>
  </bookViews>
  <sheets>
    <sheet name="README" sheetId="9" r:id="rId1"/>
    <sheet name="Raw Data" sheetId="7" r:id="rId2"/>
    <sheet name="Sales Data " sheetId="2" r:id="rId3"/>
    <sheet name="KPI Calculations" sheetId="6" r:id="rId4"/>
    <sheet name="Piviot Analysis" sheetId="3" r:id="rId5"/>
    <sheet name="Dashboard" sheetId="5" r:id="rId6"/>
    <sheet name="Insights and Recommendations" sheetId="8" r:id="rId7"/>
  </sheets>
  <definedNames>
    <definedName name="_xlcn.WorksheetConnection_SalesDataAnalysis.xlsxsales_data" hidden="1">sales_data[]</definedName>
    <definedName name="ExternalData_1" localSheetId="2" hidden="1">'Sales Data '!$A$1:$P$1001</definedName>
    <definedName name="Slicer_Customer_Type">#N/A</definedName>
    <definedName name="Slicer_Payment_Method">#N/A</definedName>
    <definedName name="Slicer_Product_Category">#N/A</definedName>
    <definedName name="Slicer_Region">#N/A</definedName>
    <definedName name="Slicer_Sales_Channel">#N/A</definedName>
    <definedName name="Slicer_Sales_Rep">#N/A</definedName>
    <definedName name="Timeline_Sale_Date">#N/A</definedName>
  </definedNames>
  <calcPr calcId="191029"/>
  <pivotCaches>
    <pivotCache cacheId="0" r:id="rId8"/>
    <pivotCache cacheId="1" r:id="rId9"/>
    <pivotCache cacheId="2" r:id="rId10"/>
    <pivotCache cacheId="3" r:id="rId11"/>
    <pivotCache cacheId="4" r:id="rId12"/>
    <pivotCache cacheId="5"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Sales Data Analysis.xlsx!sales_data"/>
        </x15:modelTables>
        <x15:extLst>
          <ext xmlns:x16="http://schemas.microsoft.com/office/spreadsheetml/2014/11/main" uri="{9835A34E-60A6-4A7C-AAB8-D5F71C897F49}">
            <x16:modelTimeGroupings>
              <x16:modelTimeGrouping tableName="sales_data" columnName="Sale_Date" columnId="Sale_Date">
                <x16:calculatedTimeColumn columnName="Sale_Date (Year)" columnId="Sale_Date (Year)" contentType="years" isSelected="1"/>
                <x16:calculatedTimeColumn columnName="Sale_Date (Quarter)" columnId="Sale_Date (Quarter)" contentType="quarters" isSelected="1"/>
                <x16:calculatedTimeColumn columnName="Sale_Date (Month Index)" columnId="Sale_Date (Month Index)" contentType="monthsindex" isSelected="1"/>
                <x16:calculatedTimeColumn columnName="Sale_Date (Month)" columnId="Sal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6" l="1"/>
  <c r="E3" i="6"/>
  <c r="D3" i="6"/>
  <c r="C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D7B24E-0220-4893-944B-1FA07E5DDB32}"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2" xr16:uid="{A230F03E-2DD1-46F1-A8C5-99D2D52D13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FDE90BD-B4AB-41F8-884D-1C4677C92710}" name="WorksheetConnection_Sales Data Analysis.xlsx!sales_data" type="102" refreshedVersion="8" minRefreshableVersion="5">
    <extLst>
      <ext xmlns:x15="http://schemas.microsoft.com/office/spreadsheetml/2010/11/main" uri="{DE250136-89BD-433C-8126-D09CA5730AF9}">
        <x15:connection id="sales_data" autoDelete="1">
          <x15:rangePr sourceName="_xlcn.WorksheetConnection_SalesDataAnalysis.xlsxsales_data"/>
        </x15:connection>
      </ext>
    </extLst>
  </connection>
</connections>
</file>

<file path=xl/sharedStrings.xml><?xml version="1.0" encoding="utf-8"?>
<sst xmlns="http://schemas.openxmlformats.org/spreadsheetml/2006/main" count="13403" uniqueCount="358">
  <si>
    <t>Product_ID</t>
  </si>
  <si>
    <t>Sale_Date</t>
  </si>
  <si>
    <t>Sales_Rep</t>
  </si>
  <si>
    <t>Region</t>
  </si>
  <si>
    <t>Product_Category</t>
  </si>
  <si>
    <t>Customer_Type</t>
  </si>
  <si>
    <t>Payment_Method</t>
  </si>
  <si>
    <t>Sales_Channel</t>
  </si>
  <si>
    <t>Unit_Cost</t>
  </si>
  <si>
    <t>Unit_Price</t>
  </si>
  <si>
    <t>Quantity_Sold</t>
  </si>
  <si>
    <t>Discount</t>
  </si>
  <si>
    <t>Eve</t>
  </si>
  <si>
    <t>East</t>
  </si>
  <si>
    <t>Clothing</t>
  </si>
  <si>
    <t>New</t>
  </si>
  <si>
    <t>Cash</t>
  </si>
  <si>
    <t>Retail</t>
  </si>
  <si>
    <t>David</t>
  </si>
  <si>
    <t>West</t>
  </si>
  <si>
    <t>Returning</t>
  </si>
  <si>
    <t>Credit Card</t>
  </si>
  <si>
    <t>Food</t>
  </si>
  <si>
    <t>Bob</t>
  </si>
  <si>
    <t>Furniture</t>
  </si>
  <si>
    <t>Bank Transfer</t>
  </si>
  <si>
    <t>Alice</t>
  </si>
  <si>
    <t>South</t>
  </si>
  <si>
    <t>Electronics</t>
  </si>
  <si>
    <t>Online</t>
  </si>
  <si>
    <t>North</t>
  </si>
  <si>
    <t>Charlie</t>
  </si>
  <si>
    <t>Total Cost</t>
  </si>
  <si>
    <t xml:space="preserve">Total Sales </t>
  </si>
  <si>
    <t>Total Profit</t>
  </si>
  <si>
    <t>Profit Margin</t>
  </si>
  <si>
    <t>Row Labels</t>
  </si>
  <si>
    <t>Grand Total</t>
  </si>
  <si>
    <t>2023</t>
  </si>
  <si>
    <t>Jul</t>
  </si>
  <si>
    <t>Aug</t>
  </si>
  <si>
    <t>Sep</t>
  </si>
  <si>
    <t>Column Labels</t>
  </si>
  <si>
    <t>Sum of Total Sales</t>
  </si>
  <si>
    <t>Sum of Total Profit</t>
  </si>
  <si>
    <t>Total Sales and Profit for 13 Months</t>
  </si>
  <si>
    <t>Channel-Wise Product Sales for each Region</t>
  </si>
  <si>
    <t>Channel Sales for each Month</t>
  </si>
  <si>
    <t>Sales rep. performance in each Region</t>
  </si>
  <si>
    <t>Count of Payment Method</t>
  </si>
  <si>
    <t>Sum of Quantity Sold</t>
  </si>
  <si>
    <t>Payment Methods of Customers in each Region</t>
  </si>
  <si>
    <t>Cards</t>
  </si>
  <si>
    <t>Sum of Quantity_Sold</t>
  </si>
  <si>
    <t>Average of Profit Margin</t>
  </si>
  <si>
    <t>East-Alice</t>
  </si>
  <si>
    <t>West-David</t>
  </si>
  <si>
    <t>3743.3900000000003</t>
  </si>
  <si>
    <t>South-David</t>
  </si>
  <si>
    <t>438.27000000000004</t>
  </si>
  <si>
    <t>North-Bob</t>
  </si>
  <si>
    <t>1856.3999999999999</t>
  </si>
  <si>
    <t>North-Charlie</t>
  </si>
  <si>
    <t>South-Alice</t>
  </si>
  <si>
    <t>North-David</t>
  </si>
  <si>
    <t>3998.9100000000003</t>
  </si>
  <si>
    <t>812.9100000000001</t>
  </si>
  <si>
    <t>East-Charlie</t>
  </si>
  <si>
    <t>1284.3600000000001</t>
  </si>
  <si>
    <t>East-Bob</t>
  </si>
  <si>
    <t>2270.9900000000002</t>
  </si>
  <si>
    <t>North-Alice</t>
  </si>
  <si>
    <t>North-Eve</t>
  </si>
  <si>
    <t>4958.780000000001</t>
  </si>
  <si>
    <t>West-Eve</t>
  </si>
  <si>
    <t>4629.9800000000005</t>
  </si>
  <si>
    <t>West-Alice</t>
  </si>
  <si>
    <t>4758.110000000001</t>
  </si>
  <si>
    <t>4794.009999999999</t>
  </si>
  <si>
    <t>3824.1000000000004</t>
  </si>
  <si>
    <t>East-David</t>
  </si>
  <si>
    <t>West-Bob</t>
  </si>
  <si>
    <t>219.07999999999998</t>
  </si>
  <si>
    <t>East-Eve</t>
  </si>
  <si>
    <t>4693.900000000001</t>
  </si>
  <si>
    <t>3423.6600000000003</t>
  </si>
  <si>
    <t>South-Charlie</t>
  </si>
  <si>
    <t>2578.7999999999997</t>
  </si>
  <si>
    <t>West-Charlie</t>
  </si>
  <si>
    <t>2365.3500000000004</t>
  </si>
  <si>
    <t>4506.8099999999995</t>
  </si>
  <si>
    <t>1669.9499999999998</t>
  </si>
  <si>
    <t>2263.3599999999997</t>
  </si>
  <si>
    <t>1466.1799999999998</t>
  </si>
  <si>
    <t>3027.0099999999998</t>
  </si>
  <si>
    <t>956.1600000000001</t>
  </si>
  <si>
    <t>South-Bob</t>
  </si>
  <si>
    <t>1951.2400000000002</t>
  </si>
  <si>
    <t>3552.6299999999997</t>
  </si>
  <si>
    <t>2976.0099999999998</t>
  </si>
  <si>
    <t>South-Eve</t>
  </si>
  <si>
    <t>258.91999999999996</t>
  </si>
  <si>
    <t>2738.6800000000003</t>
  </si>
  <si>
    <t>1424.1699999999998</t>
  </si>
  <si>
    <t>3915.4100000000003</t>
  </si>
  <si>
    <t>2605.3599999999997</t>
  </si>
  <si>
    <t>1972.6200000000001</t>
  </si>
  <si>
    <t>5080.740000000001</t>
  </si>
  <si>
    <t>2658.0600000000004</t>
  </si>
  <si>
    <t>1829.1599999999999</t>
  </si>
  <si>
    <t>3781.5499999999997</t>
  </si>
  <si>
    <t>3672.8900000000003</t>
  </si>
  <si>
    <t>2596.6099999999997</t>
  </si>
  <si>
    <t>1510.4299999999998</t>
  </si>
  <si>
    <t>5296.650000000001</t>
  </si>
  <si>
    <t>1175.2199999999998</t>
  </si>
  <si>
    <t>2860.4199999999996</t>
  </si>
  <si>
    <t>4975.2300000000005</t>
  </si>
  <si>
    <t>4820.200000000001</t>
  </si>
  <si>
    <t>3483.1499999999996</t>
  </si>
  <si>
    <t>5026.1900000000005</t>
  </si>
  <si>
    <t>999.1800000000001</t>
  </si>
  <si>
    <t>3224.8399999999997</t>
  </si>
  <si>
    <t>4820.299999999999</t>
  </si>
  <si>
    <t>5011.429999999999</t>
  </si>
  <si>
    <t>2116.7400000000002</t>
  </si>
  <si>
    <t>1596.6499999999999</t>
  </si>
  <si>
    <t>4082.7599999999998</t>
  </si>
  <si>
    <t>806.1400000000001</t>
  </si>
  <si>
    <t>987.4100000000001</t>
  </si>
  <si>
    <t>1437.1200000000001</t>
  </si>
  <si>
    <t>3218.8999999999996</t>
  </si>
  <si>
    <t>4045.3399999999997</t>
  </si>
  <si>
    <t>1352.1100000000001</t>
  </si>
  <si>
    <t>1485.3400000000001</t>
  </si>
  <si>
    <t>2512.8399999999997</t>
  </si>
  <si>
    <t>4269.0199999999995</t>
  </si>
  <si>
    <t>2626.3199999999997</t>
  </si>
  <si>
    <t>3988.7000000000003</t>
  </si>
  <si>
    <t>863.8100000000001</t>
  </si>
  <si>
    <t>3381.2200000000003</t>
  </si>
  <si>
    <t>1258.6299999999999</t>
  </si>
  <si>
    <t>2255.0499999999997</t>
  </si>
  <si>
    <t>2707.1099999999997</t>
  </si>
  <si>
    <t>2840.1400000000003</t>
  </si>
  <si>
    <t>3273.2200000000003</t>
  </si>
  <si>
    <t>4879.879999999999</t>
  </si>
  <si>
    <t>3254.5499999999997</t>
  </si>
  <si>
    <t>3563.9700000000003</t>
  </si>
  <si>
    <t>675.9100000000001</t>
  </si>
  <si>
    <t>3062.2200000000003</t>
  </si>
  <si>
    <t>2540.4199999999996</t>
  </si>
  <si>
    <t>4331.429999999999</t>
  </si>
  <si>
    <t>5129.1900000000005</t>
  </si>
  <si>
    <t>4612.490000000001</t>
  </si>
  <si>
    <t>1547.2600000000002</t>
  </si>
  <si>
    <t>3596.6400000000003</t>
  </si>
  <si>
    <t>3606.0899999999997</t>
  </si>
  <si>
    <t>4071.8199999999997</t>
  </si>
  <si>
    <t>2610.8399999999997</t>
  </si>
  <si>
    <t>1448.5400000000002</t>
  </si>
  <si>
    <t>3625.3500000000004</t>
  </si>
  <si>
    <t>2943.3100000000004</t>
  </si>
  <si>
    <t>2532.8700000000003</t>
  </si>
  <si>
    <t>2449.6400000000003</t>
  </si>
  <si>
    <t>3908.3700000000003</t>
  </si>
  <si>
    <t>1292.9399999999998</t>
  </si>
  <si>
    <t>4663.339999999999</t>
  </si>
  <si>
    <t>3069.9399999999996</t>
  </si>
  <si>
    <t>4711.700000000001</t>
  </si>
  <si>
    <t>1624.8899999999999</t>
  </si>
  <si>
    <t>3508.1400000000003</t>
  </si>
  <si>
    <t>3967.6899999999996</t>
  </si>
  <si>
    <t>1320.3200000000002</t>
  </si>
  <si>
    <t>1086.8899999999999</t>
  </si>
  <si>
    <t>1566.3600000000001</t>
  </si>
  <si>
    <t>2955.5099999999998</t>
  </si>
  <si>
    <t>4523.360000000001</t>
  </si>
  <si>
    <t>3759.0099999999998</t>
  </si>
  <si>
    <t>759.3199999999999</t>
  </si>
  <si>
    <t>3598.7200000000003</t>
  </si>
  <si>
    <t>3045.9399999999996</t>
  </si>
  <si>
    <t>381.91999999999996</t>
  </si>
  <si>
    <t>4432.349999999999</t>
  </si>
  <si>
    <t>1543.6899999999998</t>
  </si>
  <si>
    <t>820.3699999999999</t>
  </si>
  <si>
    <t>4007.9800000000005</t>
  </si>
  <si>
    <t>2429.9300000000003</t>
  </si>
  <si>
    <t>2438.9700000000003</t>
  </si>
  <si>
    <t>1514.6100000000001</t>
  </si>
  <si>
    <t>4743.030000000001</t>
  </si>
  <si>
    <t>477.67999999999995</t>
  </si>
  <si>
    <t>2908.0899999999997</t>
  </si>
  <si>
    <t>2760.6000000000004</t>
  </si>
  <si>
    <t>1308.4399999999998</t>
  </si>
  <si>
    <t>4257.5199999999995</t>
  </si>
  <si>
    <t>5036.400000000001</t>
  </si>
  <si>
    <t>498.46000000000004</t>
  </si>
  <si>
    <t>779.3299999999999</t>
  </si>
  <si>
    <t>360.53999999999996</t>
  </si>
  <si>
    <t>487.03000000000003</t>
  </si>
  <si>
    <t>1258.3000000000002</t>
  </si>
  <si>
    <t>3565.6000000000004</t>
  </si>
  <si>
    <t>1059.8200000000002</t>
  </si>
  <si>
    <t>2191.1899999999996</t>
  </si>
  <si>
    <t>3702.8399999999997</t>
  </si>
  <si>
    <t>2796.8799999999997</t>
  </si>
  <si>
    <t>2715.0499999999997</t>
  </si>
  <si>
    <t>1703.6399999999999</t>
  </si>
  <si>
    <t>4761.179999999999</t>
  </si>
  <si>
    <t>3385.6099999999997</t>
  </si>
  <si>
    <t>3742.1200000000003</t>
  </si>
  <si>
    <t>1781.0900000000001</t>
  </si>
  <si>
    <t>1515.4899999999998</t>
  </si>
  <si>
    <t>851.3499999999999</t>
  </si>
  <si>
    <t>3452.1400000000003</t>
  </si>
  <si>
    <t>3181.2299999999996</t>
  </si>
  <si>
    <t>4061.3700000000003</t>
  </si>
  <si>
    <t>3409.9300000000003</t>
  </si>
  <si>
    <t>1697.1899999999998</t>
  </si>
  <si>
    <t>5044.740000000001</t>
  </si>
  <si>
    <t>1295.3700000000001</t>
  </si>
  <si>
    <t>533.5799999999999</t>
  </si>
  <si>
    <t>5122.070000000001</t>
  </si>
  <si>
    <t>3555.3500000000004</t>
  </si>
  <si>
    <t>1558.8700000000001</t>
  </si>
  <si>
    <t>5088.0199999999995</t>
  </si>
  <si>
    <t>4474.509999999999</t>
  </si>
  <si>
    <t>2646.5299999999997</t>
  </si>
  <si>
    <t>3255.5299999999997</t>
  </si>
  <si>
    <t>1868.3200000000002</t>
  </si>
  <si>
    <t>3730.4300000000003</t>
  </si>
  <si>
    <t>3817.9900000000002</t>
  </si>
  <si>
    <t>4087.9100000000003</t>
  </si>
  <si>
    <t>3842.5499999999997</t>
  </si>
  <si>
    <t>1170.1599999999999</t>
  </si>
  <si>
    <t>632.4399999999999</t>
  </si>
  <si>
    <t>3693.4500000000003</t>
  </si>
  <si>
    <t>5037.2699999999995</t>
  </si>
  <si>
    <t>3388.8399999999997</t>
  </si>
  <si>
    <t>1983.8200000000002</t>
  </si>
  <si>
    <t>2341.4700000000003</t>
  </si>
  <si>
    <t>1528.5900000000001</t>
  </si>
  <si>
    <t>4382.320000000001</t>
  </si>
  <si>
    <t>4082.1099999999997</t>
  </si>
  <si>
    <t>1882.5700000000002</t>
  </si>
  <si>
    <t>3609.3399999999997</t>
  </si>
  <si>
    <t>1750.3799999999999</t>
  </si>
  <si>
    <t>3198.4900000000002</t>
  </si>
  <si>
    <t>684.6700000000001</t>
  </si>
  <si>
    <t>4551.599999999999</t>
  </si>
  <si>
    <t>4625.5599999999995</t>
  </si>
  <si>
    <t>676.6600000000001</t>
  </si>
  <si>
    <t>828.9499999999999</t>
  </si>
  <si>
    <t>1906.6399999999999</t>
  </si>
  <si>
    <t>4880.799999999999</t>
  </si>
  <si>
    <t>3696.1000000000004</t>
  </si>
  <si>
    <t>1844.0700000000002</t>
  </si>
  <si>
    <t>4528.7699999999995</t>
  </si>
  <si>
    <t>856.9100000000001</t>
  </si>
  <si>
    <t>4172.349999999999</t>
  </si>
  <si>
    <t>1547.3500000000001</t>
  </si>
  <si>
    <t>1382.4299999999998</t>
  </si>
  <si>
    <t>1004.6999999999999</t>
  </si>
  <si>
    <t>2848.3999999999996</t>
  </si>
  <si>
    <t>2034.1499999999999</t>
  </si>
  <si>
    <t>2521.4500000000003</t>
  </si>
  <si>
    <t>3890.3599999999997</t>
  </si>
  <si>
    <t>1649.7399999999998</t>
  </si>
  <si>
    <t>3027.9199999999996</t>
  </si>
  <si>
    <t>1625.7099999999998</t>
  </si>
  <si>
    <t>2504.0299999999997</t>
  </si>
  <si>
    <t>802.4300000000001</t>
  </si>
  <si>
    <t>4856.219999999999</t>
  </si>
  <si>
    <t>918.1700000000001</t>
  </si>
  <si>
    <t>1167.3300000000002</t>
  </si>
  <si>
    <t>2910.5099999999998</t>
  </si>
  <si>
    <t>2168.9100000000003</t>
  </si>
  <si>
    <t>3146.6000000000004</t>
  </si>
  <si>
    <t>1429.4399999999998</t>
  </si>
  <si>
    <t>4488.370000000001</t>
  </si>
  <si>
    <t>3152.2799999999997</t>
  </si>
  <si>
    <t>2778.3999999999996</t>
  </si>
  <si>
    <t>3007.4700000000003</t>
  </si>
  <si>
    <t>2637.9100000000003</t>
  </si>
  <si>
    <t>853.6600000000001</t>
  </si>
  <si>
    <t>814.1400000000001</t>
  </si>
  <si>
    <t>4314.5599999999995</t>
  </si>
  <si>
    <t>2558.9500000000003</t>
  </si>
  <si>
    <t>2790.1000000000004</t>
  </si>
  <si>
    <t>4420.150000000001</t>
  </si>
  <si>
    <t>1095.4499999999998</t>
  </si>
  <si>
    <t>Region_and_Sales_Rep</t>
  </si>
  <si>
    <t>Sales_Amount</t>
  </si>
  <si>
    <t/>
  </si>
  <si>
    <t>Quantity Sold</t>
  </si>
  <si>
    <t>Total Sales</t>
  </si>
  <si>
    <t>📊 Key Business Insights</t>
  </si>
  <si>
    <r>
      <t xml:space="preserve">• The </t>
    </r>
    <r>
      <rPr>
        <b/>
        <sz val="11"/>
        <color theme="1"/>
        <rFont val="Calibri"/>
        <family val="2"/>
        <scheme val="minor"/>
      </rPr>
      <t>Online sales channel</t>
    </r>
    <r>
      <rPr>
        <sz val="11"/>
        <color theme="1"/>
        <rFont val="Calibri"/>
        <family val="2"/>
        <scheme val="minor"/>
      </rPr>
      <t xml:space="preserve"> marginally outperforms Retail in both </t>
    </r>
    <r>
      <rPr>
        <b/>
        <sz val="11"/>
        <color theme="1"/>
        <rFont val="Calibri"/>
        <family val="2"/>
        <scheme val="minor"/>
      </rPr>
      <t>total sales and profit</t>
    </r>
    <r>
      <rPr>
        <sz val="11"/>
        <color theme="1"/>
        <rFont val="Calibri"/>
        <family val="2"/>
        <scheme val="minor"/>
      </rPr>
      <t>, suggesting stronger efficiency and scalability in digital sales.</t>
    </r>
  </si>
  <si>
    <r>
      <t xml:space="preserve">• Sales demonstrate clear </t>
    </r>
    <r>
      <rPr>
        <b/>
        <sz val="11"/>
        <color theme="1"/>
        <rFont val="Calibri"/>
        <family val="2"/>
        <scheme val="minor"/>
      </rPr>
      <t>seasonality</t>
    </r>
    <r>
      <rPr>
        <sz val="11"/>
        <color theme="1"/>
        <rFont val="Calibri"/>
        <family val="2"/>
        <scheme val="minor"/>
      </rPr>
      <t xml:space="preserve">, with stronger performance during </t>
    </r>
    <r>
      <rPr>
        <b/>
        <sz val="11"/>
        <color theme="1"/>
        <rFont val="Calibri"/>
        <family val="2"/>
        <scheme val="minor"/>
      </rPr>
      <t>year-end months (Q4)</t>
    </r>
    <r>
      <rPr>
        <sz val="11"/>
        <color theme="1"/>
        <rFont val="Calibri"/>
        <family val="2"/>
        <scheme val="minor"/>
      </rPr>
      <t xml:space="preserve"> and a noticeable decline during </t>
    </r>
    <r>
      <rPr>
        <b/>
        <sz val="11"/>
        <color theme="1"/>
        <rFont val="Calibri"/>
        <family val="2"/>
        <scheme val="minor"/>
      </rPr>
      <t>mid-year months</t>
    </r>
    <r>
      <rPr>
        <sz val="11"/>
        <color theme="1"/>
        <rFont val="Calibri"/>
        <family val="2"/>
        <scheme val="minor"/>
      </rPr>
      <t>, indicating demand fluctuation.</t>
    </r>
  </si>
  <si>
    <r>
      <t xml:space="preserve">• Sales performance varies significantly across </t>
    </r>
    <r>
      <rPr>
        <b/>
        <sz val="11"/>
        <color theme="1"/>
        <rFont val="Calibri"/>
        <family val="2"/>
        <scheme val="minor"/>
      </rPr>
      <t>sales representatives</t>
    </r>
    <r>
      <rPr>
        <sz val="11"/>
        <color theme="1"/>
        <rFont val="Calibri"/>
        <family val="2"/>
        <scheme val="minor"/>
      </rPr>
      <t>, with a small number of reps contributing a disproportionately higher share of total revenue.</t>
    </r>
  </si>
  <si>
    <r>
      <t xml:space="preserve">• The </t>
    </r>
    <r>
      <rPr>
        <b/>
        <sz val="11"/>
        <color theme="1"/>
        <rFont val="Calibri"/>
        <family val="2"/>
        <scheme val="minor"/>
      </rPr>
      <t>North, East, and West regions</t>
    </r>
    <r>
      <rPr>
        <sz val="11"/>
        <color theme="1"/>
        <rFont val="Calibri"/>
        <family val="2"/>
        <scheme val="minor"/>
      </rPr>
      <t xml:space="preserve"> each contribute roughly </t>
    </r>
    <r>
      <rPr>
        <b/>
        <sz val="11"/>
        <color theme="1"/>
        <rFont val="Calibri"/>
        <family val="2"/>
        <scheme val="minor"/>
      </rPr>
      <t>25–27% of total sales</t>
    </r>
    <r>
      <rPr>
        <sz val="11"/>
        <color theme="1"/>
        <rFont val="Calibri"/>
        <family val="2"/>
        <scheme val="minor"/>
      </rPr>
      <t xml:space="preserve">, while the </t>
    </r>
    <r>
      <rPr>
        <b/>
        <sz val="11"/>
        <color theme="1"/>
        <rFont val="Calibri"/>
        <family val="2"/>
        <scheme val="minor"/>
      </rPr>
      <t>South region contributes the lowest share (23%)</t>
    </r>
    <r>
      <rPr>
        <sz val="11"/>
        <color theme="1"/>
        <rFont val="Calibri"/>
        <family val="2"/>
        <scheme val="minor"/>
      </rPr>
      <t>, indicating regional performance imbalance.</t>
    </r>
  </si>
  <si>
    <r>
      <t xml:space="preserve">• </t>
    </r>
    <r>
      <rPr>
        <b/>
        <sz val="11"/>
        <color theme="1"/>
        <rFont val="Calibri"/>
        <family val="2"/>
        <scheme val="minor"/>
      </rPr>
      <t>Clothing</t>
    </r>
    <r>
      <rPr>
        <sz val="11"/>
        <color theme="1"/>
        <rFont val="Calibri"/>
        <family val="2"/>
        <scheme val="minor"/>
      </rPr>
      <t xml:space="preserve"> is the highest revenue-generating category, but its </t>
    </r>
    <r>
      <rPr>
        <b/>
        <sz val="11"/>
        <color theme="1"/>
        <rFont val="Calibri"/>
        <family val="2"/>
        <scheme val="minor"/>
      </rPr>
      <t>profit margin (13–14%)</t>
    </r>
    <r>
      <rPr>
        <sz val="11"/>
        <color theme="1"/>
        <rFont val="Calibri"/>
        <family val="2"/>
        <scheme val="minor"/>
      </rPr>
      <t xml:space="preserve"> is lower compared to </t>
    </r>
    <r>
      <rPr>
        <b/>
        <sz val="11"/>
        <color theme="1"/>
        <rFont val="Calibri"/>
        <family val="2"/>
        <scheme val="minor"/>
      </rPr>
      <t>Furniture</t>
    </r>
    <r>
      <rPr>
        <sz val="11"/>
        <color theme="1"/>
        <rFont val="Calibri"/>
        <family val="2"/>
        <scheme val="minor"/>
      </rPr>
      <t xml:space="preserve">, which shows </t>
    </r>
    <r>
      <rPr>
        <b/>
        <sz val="11"/>
        <color theme="1"/>
        <rFont val="Calibri"/>
        <family val="2"/>
        <scheme val="minor"/>
      </rPr>
      <t>higher profitability (14–15%)</t>
    </r>
    <r>
      <rPr>
        <sz val="11"/>
        <color theme="1"/>
        <rFont val="Calibri"/>
        <family val="2"/>
        <scheme val="minor"/>
      </rPr>
      <t xml:space="preserve"> despite slightly lower sales.</t>
    </r>
  </si>
  <si>
    <t>💡 Business Recommendations</t>
  </si>
  <si>
    <r>
      <t xml:space="preserve">• Increase </t>
    </r>
    <r>
      <rPr>
        <b/>
        <sz val="11"/>
        <color theme="1"/>
        <rFont val="Calibri"/>
        <family val="2"/>
        <scheme val="minor"/>
      </rPr>
      <t>targeted marketing, pricing offers, or distribution efforts in the South region</t>
    </r>
    <r>
      <rPr>
        <sz val="11"/>
        <color theme="1"/>
        <rFont val="Calibri"/>
        <family val="2"/>
        <scheme val="minor"/>
      </rPr>
      <t xml:space="preserve"> to improve regional sales contribution and balance performance.</t>
    </r>
  </si>
  <si>
    <r>
      <t xml:space="preserve">• Prioritize </t>
    </r>
    <r>
      <rPr>
        <b/>
        <sz val="11"/>
        <color theme="1"/>
        <rFont val="Calibri"/>
        <family val="2"/>
        <scheme val="minor"/>
      </rPr>
      <t>high-margin categories such as Furniture and Electronics</t>
    </r>
    <r>
      <rPr>
        <sz val="11"/>
        <color theme="1"/>
        <rFont val="Calibri"/>
        <family val="2"/>
        <scheme val="minor"/>
      </rPr>
      <t xml:space="preserve"> in promotions, inventory planning, and upselling strategies to improve overall profitability.</t>
    </r>
  </si>
  <si>
    <r>
      <t xml:space="preserve">• Review and optimize </t>
    </r>
    <r>
      <rPr>
        <b/>
        <sz val="11"/>
        <color theme="1"/>
        <rFont val="Calibri"/>
        <family val="2"/>
        <scheme val="minor"/>
      </rPr>
      <t>pricing and discount strategies for Clothing</t>
    </r>
    <r>
      <rPr>
        <sz val="11"/>
        <color theme="1"/>
        <rFont val="Calibri"/>
        <family val="2"/>
        <scheme val="minor"/>
      </rPr>
      <t xml:space="preserve"> to improve margins without significantly impacting sales volume.</t>
    </r>
  </si>
  <si>
    <r>
      <t xml:space="preserve">• Allocate greater focus and investment toward the </t>
    </r>
    <r>
      <rPr>
        <b/>
        <sz val="11"/>
        <color theme="1"/>
        <rFont val="Calibri"/>
        <family val="2"/>
        <scheme val="minor"/>
      </rPr>
      <t>Online channel</t>
    </r>
    <r>
      <rPr>
        <sz val="11"/>
        <color theme="1"/>
        <rFont val="Calibri"/>
        <family val="2"/>
        <scheme val="minor"/>
      </rPr>
      <t>, including digital marketing and logistics optimization, to capitalize on its higher sales efficiency.</t>
    </r>
  </si>
  <si>
    <r>
      <t xml:space="preserve">• Launch </t>
    </r>
    <r>
      <rPr>
        <b/>
        <sz val="11"/>
        <color theme="1"/>
        <rFont val="Calibri"/>
        <family val="2"/>
        <scheme val="minor"/>
      </rPr>
      <t>seasonal promotions or bundled offers during mid-year months</t>
    </r>
    <r>
      <rPr>
        <sz val="11"/>
        <color theme="1"/>
        <rFont val="Calibri"/>
        <family val="2"/>
        <scheme val="minor"/>
      </rPr>
      <t xml:space="preserve"> to reduce sales volatility and smooth revenue across the year.</t>
    </r>
  </si>
  <si>
    <r>
      <t xml:space="preserve">• Implement </t>
    </r>
    <r>
      <rPr>
        <b/>
        <sz val="11"/>
        <color theme="1"/>
        <rFont val="Calibri"/>
        <family val="2"/>
        <scheme val="minor"/>
      </rPr>
      <t>performance reviews and targeted training programs</t>
    </r>
    <r>
      <rPr>
        <sz val="11"/>
        <color theme="1"/>
        <rFont val="Calibri"/>
        <family val="2"/>
        <scheme val="minor"/>
      </rPr>
      <t xml:space="preserve"> for lower-performing sales representatives by leveraging best practices from top performers.</t>
    </r>
  </si>
  <si>
    <t>📘 README – Sales Data Analysis Dashboard</t>
  </si>
  <si>
    <t>Objective</t>
  </si>
  <si>
    <t>Dataset Overview</t>
  </si>
  <si>
    <r>
      <t>Type:</t>
    </r>
    <r>
      <rPr>
        <sz val="11"/>
        <color theme="1"/>
        <rFont val="Calibri"/>
        <family val="2"/>
        <scheme val="minor"/>
      </rPr>
      <t xml:space="preserve"> Transaction-level sales data</t>
    </r>
  </si>
  <si>
    <t>Key Fields:</t>
  </si>
  <si>
    <t>Tools &amp; Techniques Used</t>
  </si>
  <si>
    <t>Dashboard Features</t>
  </si>
  <si>
    <r>
      <t xml:space="preserve">Interactive </t>
    </r>
    <r>
      <rPr>
        <b/>
        <sz val="11"/>
        <color theme="1"/>
        <rFont val="Calibri"/>
        <family val="2"/>
        <scheme val="minor"/>
      </rPr>
      <t>KPI cards</t>
    </r>
    <r>
      <rPr>
        <sz val="11"/>
        <color theme="1"/>
        <rFont val="Calibri"/>
        <family val="2"/>
        <scheme val="minor"/>
      </rPr>
      <t xml:space="preserve"> for Sales, Profit, Margin, and Quantity</t>
    </r>
  </si>
  <si>
    <r>
      <t xml:space="preserve">Dynamic </t>
    </r>
    <r>
      <rPr>
        <b/>
        <sz val="11"/>
        <color theme="1"/>
        <rFont val="Calibri"/>
        <family val="2"/>
        <scheme val="minor"/>
      </rPr>
      <t>filters (slicers)</t>
    </r>
    <r>
      <rPr>
        <sz val="11"/>
        <color theme="1"/>
        <rFont val="Calibri"/>
        <family val="2"/>
        <scheme val="minor"/>
      </rPr>
      <t xml:space="preserve"> for Region, Product Category, Channel, and Date</t>
    </r>
  </si>
  <si>
    <r>
      <t xml:space="preserve">Trend analysis to identify </t>
    </r>
    <r>
      <rPr>
        <b/>
        <sz val="11"/>
        <color theme="1"/>
        <rFont val="Calibri"/>
        <family val="2"/>
        <scheme val="minor"/>
      </rPr>
      <t>seasonality</t>
    </r>
  </si>
  <si>
    <r>
      <t xml:space="preserve">Comparative analysis across </t>
    </r>
    <r>
      <rPr>
        <b/>
        <sz val="11"/>
        <color theme="1"/>
        <rFont val="Calibri"/>
        <family val="2"/>
        <scheme val="minor"/>
      </rPr>
      <t>regions, categories, channels, and sales reps</t>
    </r>
  </si>
  <si>
    <r>
      <t xml:space="preserve">Business-focused </t>
    </r>
    <r>
      <rPr>
        <b/>
        <sz val="11"/>
        <color theme="1"/>
        <rFont val="Calibri"/>
        <family val="2"/>
        <scheme val="minor"/>
      </rPr>
      <t>Insights &amp; Recommendations</t>
    </r>
    <r>
      <rPr>
        <sz val="11"/>
        <color theme="1"/>
        <rFont val="Calibri"/>
        <family val="2"/>
        <scheme val="minor"/>
      </rPr>
      <t xml:space="preserve"> derived from data</t>
    </r>
  </si>
  <si>
    <t>How to Use This Dashboard</t>
  </si>
  <si>
    <r>
      <t xml:space="preserve">1. Navigate to the </t>
    </r>
    <r>
      <rPr>
        <b/>
        <sz val="11"/>
        <color theme="1"/>
        <rFont val="Calibri"/>
        <family val="2"/>
        <scheme val="minor"/>
      </rPr>
      <t>Dashboard</t>
    </r>
    <r>
      <rPr>
        <sz val="11"/>
        <color theme="1"/>
        <rFont val="Calibri"/>
        <family val="2"/>
        <scheme val="minor"/>
      </rPr>
      <t xml:space="preserve"> sheet.</t>
    </r>
  </si>
  <si>
    <t>2. Use slicers to filter by region, category, channel, or time period.</t>
  </si>
  <si>
    <t>3. KPIs and charts update automatically based on selections.</t>
  </si>
  <si>
    <r>
      <t xml:space="preserve">4. Refer to the </t>
    </r>
    <r>
      <rPr>
        <b/>
        <sz val="11"/>
        <color theme="1"/>
        <rFont val="Calibri"/>
        <family val="2"/>
        <scheme val="minor"/>
      </rPr>
      <t>Insights &amp; Recommendations</t>
    </r>
    <r>
      <rPr>
        <sz val="11"/>
        <color theme="1"/>
        <rFont val="Calibri"/>
        <family val="2"/>
        <scheme val="minor"/>
      </rPr>
      <t xml:space="preserve"> sheet for business conclusions.</t>
    </r>
  </si>
  <si>
    <t>Key Outcomes</t>
  </si>
  <si>
    <t>Identified high- and low-performing regions</t>
  </si>
  <si>
    <t>Compared revenue vs profitability across product categories</t>
  </si>
  <si>
    <t>Evaluated channel effectiveness (Online vs Retail)</t>
  </si>
  <si>
    <t>Highlighted seasonality and sales rep performance differences</t>
  </si>
  <si>
    <t>Proposed actionable recommendations to improve sales and profit</t>
  </si>
  <si>
    <t>Created By</t>
  </si>
  <si>
    <t>B.Sc. Computer Science (Data Science)</t>
  </si>
  <si>
    <t>Aspiring Data Analyst / Data Scientist</t>
  </si>
  <si>
    <t>Project Title - Sales Performance Analysis Dashboard using Excel</t>
  </si>
  <si>
    <r>
      <t xml:space="preserve">To analyze transactional sales data and identify trends, performance drivers, and opportunities to improve </t>
    </r>
    <r>
      <rPr>
        <b/>
        <sz val="12"/>
        <color theme="1"/>
        <rFont val="Calibri"/>
        <family val="2"/>
        <scheme val="minor"/>
      </rPr>
      <t>sales growth and profitability</t>
    </r>
    <r>
      <rPr>
        <sz val="12"/>
        <color theme="1"/>
        <rFont val="Calibri"/>
        <family val="2"/>
        <scheme val="minor"/>
      </rPr>
      <t xml:space="preserve"> using Excel-based analytics.</t>
    </r>
  </si>
  <si>
    <t>1. Date
2. Region
3. Sales Channel
4. Product Category
5. Sales Amount
6. Profit
7. Quantity
8. Payment Method
9. Sales Representative</t>
  </si>
  <si>
    <t>1. Microsoft Excel</t>
  </si>
  <si>
    <t>2. Pivot Tables</t>
  </si>
  <si>
    <t>3. Pivot Charts</t>
  </si>
  <si>
    <t>4. Slicers</t>
  </si>
  <si>
    <t>5. Calculated Fields</t>
  </si>
  <si>
    <t>6. KPI Cards</t>
  </si>
  <si>
    <t>7. GETPIVOTDATA for dynamic KPIs</t>
  </si>
  <si>
    <t>Vansh Belani</t>
  </si>
  <si>
    <r>
      <rPr>
        <b/>
        <sz val="11"/>
        <color theme="1"/>
        <rFont val="Calibri"/>
        <family val="2"/>
        <scheme val="minor"/>
      </rPr>
      <t xml:space="preserve">Records: </t>
    </r>
    <r>
      <rPr>
        <sz val="11"/>
        <color theme="1"/>
        <rFont val="Calibri"/>
        <family val="2"/>
        <scheme val="minor"/>
      </rPr>
      <t>1000 rows</t>
    </r>
  </si>
  <si>
    <t>Jan</t>
  </si>
  <si>
    <t>Feb</t>
  </si>
  <si>
    <t>Mar</t>
  </si>
  <si>
    <t>Apr</t>
  </si>
  <si>
    <t>May</t>
  </si>
  <si>
    <t>Jun</t>
  </si>
  <si>
    <t>Oct</t>
  </si>
  <si>
    <t>Nov</t>
  </si>
  <si>
    <t>Dec</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</si>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</sst>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m/yy;@"/>
    <numFmt numFmtId="165" formatCode="&quot;$&quot;#,##0.00"/>
  </numFmts>
  <fonts count="9" x14ac:knownFonts="1">
    <font>
      <sz val="11"/>
      <color theme="1"/>
      <name val="Calibri"/>
      <family val="2"/>
      <scheme val="minor"/>
    </font>
    <font>
      <sz val="8"/>
      <name val="Calibri"/>
      <family val="2"/>
      <scheme val="minor"/>
    </font>
    <font>
      <sz val="12"/>
      <color theme="1"/>
      <name val="Calibri"/>
      <family val="2"/>
      <scheme val="minor"/>
    </font>
    <font>
      <sz val="14"/>
      <color theme="1"/>
      <name val="Calibri"/>
      <family val="2"/>
      <scheme val="minor"/>
    </font>
    <font>
      <b/>
      <sz val="11"/>
      <color theme="1"/>
      <name val="Calibri"/>
      <family val="2"/>
      <scheme val="minor"/>
    </font>
    <font>
      <b/>
      <sz val="12"/>
      <color theme="1"/>
      <name val="Calibri"/>
      <family val="2"/>
      <scheme val="minor"/>
    </font>
    <font>
      <b/>
      <sz val="24"/>
      <color theme="1"/>
      <name val="Calibri"/>
      <family val="2"/>
      <scheme val="minor"/>
    </font>
    <font>
      <i/>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NumberFormat="1"/>
    <xf numFmtId="164" fontId="0" fillId="0" borderId="0" xfId="0" applyNumberFormat="1"/>
    <xf numFmtId="10" fontId="0" fillId="0" borderId="0" xfId="0" applyNumberFormat="1"/>
    <xf numFmtId="44" fontId="0" fillId="0" borderId="0" xfId="0" applyNumberFormat="1"/>
    <xf numFmtId="0" fontId="2" fillId="0" borderId="0" xfId="0" pivotButton="1" applyFont="1"/>
    <xf numFmtId="44" fontId="2" fillId="0" borderId="0" xfId="0" applyNumberFormat="1" applyFont="1"/>
    <xf numFmtId="0" fontId="2" fillId="0" borderId="0" xfId="0" applyFont="1" applyAlignment="1">
      <alignment horizontal="left"/>
    </xf>
    <xf numFmtId="0" fontId="2" fillId="0" borderId="0" xfId="0" applyFont="1" applyAlignment="1">
      <alignment horizontal="left" indent="1"/>
    </xf>
    <xf numFmtId="0" fontId="2" fillId="0" borderId="0" xfId="0" applyFont="1"/>
    <xf numFmtId="0" fontId="2" fillId="0" borderId="0" xfId="0" applyNumberFormat="1" applyFont="1"/>
    <xf numFmtId="165" fontId="2" fillId="0" borderId="0" xfId="0" applyNumberFormat="1" applyFont="1"/>
    <xf numFmtId="165" fontId="0" fillId="0" borderId="0" xfId="0" applyNumberFormat="1"/>
    <xf numFmtId="14" fontId="0" fillId="0" borderId="0" xfId="0" applyNumberFormat="1"/>
    <xf numFmtId="0" fontId="0" fillId="0" borderId="0" xfId="0" quotePrefix="1"/>
    <xf numFmtId="0" fontId="0" fillId="0" borderId="0" xfId="0" applyAlignment="1">
      <alignment horizontal="center"/>
    </xf>
    <xf numFmtId="2" fontId="2" fillId="0" borderId="0" xfId="0" applyNumberFormat="1" applyFont="1"/>
    <xf numFmtId="0" fontId="6" fillId="0" borderId="0" xfId="0" applyFont="1" applyAlignment="1">
      <alignment vertical="center"/>
    </xf>
    <xf numFmtId="0" fontId="0" fillId="0" borderId="0" xfId="0" applyAlignment="1"/>
    <xf numFmtId="0" fontId="8" fillId="0" borderId="0" xfId="0" applyFont="1" applyAlignment="1">
      <alignment vertical="center"/>
    </xf>
    <xf numFmtId="0" fontId="4" fillId="0" borderId="0" xfId="0" applyFont="1"/>
    <xf numFmtId="0" fontId="0" fillId="0" borderId="0" xfId="0" applyAlignment="1">
      <alignment horizontal="left" vertical="center" indent="1"/>
    </xf>
    <xf numFmtId="0" fontId="4" fillId="0" borderId="0" xfId="0" applyFont="1" applyAlignment="1">
      <alignment horizontal="left" vertical="center" indent="1"/>
    </xf>
    <xf numFmtId="0" fontId="4" fillId="0" borderId="0" xfId="0" applyFont="1" applyAlignment="1"/>
    <xf numFmtId="0" fontId="7" fillId="0" borderId="0" xfId="0" applyFont="1" applyAlignment="1">
      <alignment horizontal="left" vertical="center" wrapText="1" indent="2"/>
    </xf>
    <xf numFmtId="0" fontId="3" fillId="2" borderId="0" xfId="0" applyFont="1" applyFill="1" applyAlignment="1">
      <alignment horizontal="center"/>
    </xf>
  </cellXfs>
  <cellStyles count="1">
    <cellStyle name="Normal" xfId="0" builtinId="0"/>
  </cellStyles>
  <dxfs count="99">
    <dxf>
      <numFmt numFmtId="2" formatCode="0.00"/>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sz val="12"/>
      </font>
    </dxf>
    <dxf>
      <font>
        <sz val="12"/>
      </font>
    </dxf>
    <dxf>
      <font>
        <sz val="12"/>
      </font>
    </dxf>
    <dxf>
      <font>
        <sz val="12"/>
      </font>
    </dxf>
    <dxf>
      <font>
        <sz val="12"/>
      </font>
    </dxf>
    <dxf>
      <font>
        <sz val="12"/>
      </font>
    </dxf>
    <dxf>
      <font>
        <sz val="12"/>
      </font>
    </dxf>
    <dxf>
      <font>
        <sz val="12"/>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quot;$&quot;#,##0.00"/>
    </dxf>
    <dxf>
      <font>
        <sz val="12"/>
      </font>
    </dxf>
    <dxf>
      <font>
        <sz val="12"/>
      </font>
    </dxf>
    <dxf>
      <font>
        <sz val="12"/>
      </font>
    </dxf>
    <dxf>
      <font>
        <sz val="12"/>
      </font>
    </dxf>
    <dxf>
      <font>
        <sz val="12"/>
      </font>
    </dxf>
    <dxf>
      <font>
        <sz val="12"/>
      </font>
    </dxf>
    <dxf>
      <font>
        <sz val="12"/>
      </font>
    </dxf>
    <dxf>
      <font>
        <sz val="12"/>
      </font>
    </dxf>
    <dxf>
      <numFmt numFmtId="34" formatCode="_(&quot;$&quot;* #,##0.00_);_(&quot;$&quot;* \(#,##0.00\);_(&quot;$&quot;* &quot;-&quot;??_);_(@_)"/>
    </dxf>
    <dxf>
      <numFmt numFmtId="34" formatCode="_(&quot;$&quot;* #,##0.00_);_(&quot;$&quot;* \(#,##0.00\);_(&quot;$&quot;*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34" formatCode="_(&quot;$&quot;* #,##0.00_);_(&quot;$&quot;* \(#,##0.00\);_(&quot;$&quot;* &quot;-&quot;??_);_(@_)"/>
    </dxf>
    <dxf>
      <numFmt numFmtId="34" formatCode="_(&quot;$&quot;* #,##0.00_);_(&quot;$&quot;* \(#,##0.00\);_(&quot;$&quot;* &quot;-&quot;??_);_(@_)"/>
    </dxf>
    <dxf>
      <numFmt numFmtId="34" formatCode="_(&quot;$&quot;* #,##0.00_);_(&quot;$&quot;* \(#,##0.00\);_(&quot;$&quot;*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4" formatCode="0.00%"/>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
    </dxf>
    <dxf>
      <font>
        <b/>
        <sz val="11"/>
        <color theme="1"/>
      </font>
      <border>
        <vertical/>
        <horizontal/>
      </border>
    </dxf>
    <dxf>
      <font>
        <sz val="16"/>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14"/>
        <color theme="1"/>
      </font>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SlicerStyleLight2 2" pivot="0" table="0" count="10" xr9:uid="{C2CE8A0A-340F-44F1-9CB2-078F43BFF9B0}">
      <tableStyleElement type="wholeTable" dxfId="98"/>
      <tableStyleElement type="headerRow" dxfId="97"/>
    </tableStyle>
    <tableStyle name="TimeSlicerStyleLight2 2" pivot="0" table="0" count="9" xr9:uid="{3EA8E9BD-4DAB-4B71-8843-5F9521ED599A}">
      <tableStyleElement type="wholeTable" dxfId="96"/>
      <tableStyleElement type="headerRow" dxfId="95"/>
    </tableStyle>
  </tableStyles>
  <colors>
    <mruColors>
      <color rgb="FFFFBD31"/>
      <color rgb="FFFF9913"/>
      <color rgb="FFFF6E00"/>
      <color rgb="FFF3ED05"/>
      <color rgb="FFFDFD96"/>
      <color rgb="FF4682B4"/>
      <color rgb="FF1E90FF"/>
      <color rgb="FF4169E1"/>
      <color rgb="FF997950"/>
      <color rgb="FFAE854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5" tint="0.39997558519241921"/>
              <bgColor theme="5"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5" tint="0.59999389629810485"/>
              </stop>
              <stop position="1">
                <color theme="5"/>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5"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2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3.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Analysis.xlsx]Piviot Analysis!PivotTable3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by Channel (Online vs Retail)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 Analysis'!$G$8:$G$9</c:f>
              <c:strCache>
                <c:ptCount val="1"/>
                <c:pt idx="0">
                  <c:v>Online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'Piviot Analysis'!$F$10:$F$25</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'Piviot Analysis'!$G$10:$G$25</c:f>
              <c:numCache>
                <c:formatCode>_("$"* #,##0.00_);_("$"* \(#,##0.00\);_("$"* "-"??_);_(@_)</c:formatCode>
                <c:ptCount val="13"/>
                <c:pt idx="0">
                  <c:v>4444187.57</c:v>
                </c:pt>
                <c:pt idx="1">
                  <c:v>3074194.42</c:v>
                </c:pt>
                <c:pt idx="2">
                  <c:v>3136747.05</c:v>
                </c:pt>
                <c:pt idx="3">
                  <c:v>2856036.09</c:v>
                </c:pt>
                <c:pt idx="4">
                  <c:v>3254278.36</c:v>
                </c:pt>
                <c:pt idx="5">
                  <c:v>3705590.67</c:v>
                </c:pt>
                <c:pt idx="6">
                  <c:v>2918381.96</c:v>
                </c:pt>
                <c:pt idx="7">
                  <c:v>2822281.38</c:v>
                </c:pt>
                <c:pt idx="8">
                  <c:v>2124673.35</c:v>
                </c:pt>
                <c:pt idx="9">
                  <c:v>2887641.32</c:v>
                </c:pt>
                <c:pt idx="10">
                  <c:v>1844463.03</c:v>
                </c:pt>
                <c:pt idx="11">
                  <c:v>2622282.27</c:v>
                </c:pt>
                <c:pt idx="12">
                  <c:v>47042.47</c:v>
                </c:pt>
              </c:numCache>
            </c:numRef>
          </c:val>
          <c:smooth val="0"/>
          <c:extLst>
            <c:ext xmlns:c16="http://schemas.microsoft.com/office/drawing/2014/chart" uri="{C3380CC4-5D6E-409C-BE32-E72D297353CC}">
              <c16:uniqueId val="{00000002-1E39-4272-A8EE-7E4D8C39CE64}"/>
            </c:ext>
          </c:extLst>
        </c:ser>
        <c:ser>
          <c:idx val="1"/>
          <c:order val="1"/>
          <c:tx>
            <c:strRef>
              <c:f>'Piviot Analysis'!$H$8:$H$9</c:f>
              <c:strCache>
                <c:ptCount val="1"/>
                <c:pt idx="0">
                  <c:v>Retail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'Piviot Analysis'!$F$10:$F$25</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'Piviot Analysis'!$H$10:$H$25</c:f>
              <c:numCache>
                <c:formatCode>_("$"* #,##0.00_);_("$"* \(#,##0.00\);_("$"* "-"??_);_(@_)</c:formatCode>
                <c:ptCount val="13"/>
                <c:pt idx="0">
                  <c:v>2983278.9</c:v>
                </c:pt>
                <c:pt idx="1">
                  <c:v>2552956.4900000002</c:v>
                </c:pt>
                <c:pt idx="2">
                  <c:v>2871208.35</c:v>
                </c:pt>
                <c:pt idx="3">
                  <c:v>2612124</c:v>
                </c:pt>
                <c:pt idx="4">
                  <c:v>2546028.29</c:v>
                </c:pt>
                <c:pt idx="5">
                  <c:v>2436646.08</c:v>
                </c:pt>
                <c:pt idx="6">
                  <c:v>1832800.75</c:v>
                </c:pt>
                <c:pt idx="7">
                  <c:v>3893563.12</c:v>
                </c:pt>
                <c:pt idx="8">
                  <c:v>2432042.44</c:v>
                </c:pt>
                <c:pt idx="9">
                  <c:v>3672628.56</c:v>
                </c:pt>
                <c:pt idx="10">
                  <c:v>3114124.51</c:v>
                </c:pt>
                <c:pt idx="11">
                  <c:v>3627659.26</c:v>
                </c:pt>
                <c:pt idx="12">
                  <c:v>13225.8</c:v>
                </c:pt>
              </c:numCache>
            </c:numRef>
          </c:val>
          <c:smooth val="0"/>
          <c:extLst>
            <c:ext xmlns:c16="http://schemas.microsoft.com/office/drawing/2014/chart" uri="{C3380CC4-5D6E-409C-BE32-E72D297353CC}">
              <c16:uniqueId val="{00000001-07E4-4BC3-9016-658C7E6EF70D}"/>
            </c:ext>
          </c:extLst>
        </c:ser>
        <c:dLbls>
          <c:showLegendKey val="0"/>
          <c:showVal val="0"/>
          <c:showCatName val="0"/>
          <c:showSerName val="0"/>
          <c:showPercent val="0"/>
          <c:showBubbleSize val="0"/>
        </c:dLbls>
        <c:marker val="1"/>
        <c:smooth val="0"/>
        <c:axId val="1858309535"/>
        <c:axId val="1858331615"/>
      </c:lineChart>
      <c:catAx>
        <c:axId val="185830953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8331615"/>
        <c:crosses val="autoZero"/>
        <c:auto val="1"/>
        <c:lblAlgn val="ctr"/>
        <c:lblOffset val="100"/>
        <c:noMultiLvlLbl val="0"/>
      </c:catAx>
      <c:valAx>
        <c:axId val="18583316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830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Data Analysis.xlsx]Piviot Analysis!PivotTable2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Sales by Region and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tint val="46000"/>
                  <a:satMod val="103000"/>
                  <a:lumMod val="102000"/>
                  <a:tint val="94000"/>
                </a:schemeClr>
              </a:gs>
              <a:gs pos="50000">
                <a:schemeClr val="accent2">
                  <a:tint val="46000"/>
                  <a:satMod val="110000"/>
                  <a:lumMod val="100000"/>
                  <a:shade val="100000"/>
                </a:schemeClr>
              </a:gs>
              <a:gs pos="100000">
                <a:schemeClr val="accent2">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2.7361244021950101E-2"/>
          <c:y val="0.10337470058412107"/>
          <c:w val="0.74006818179147404"/>
          <c:h val="0.71341010394467186"/>
        </c:manualLayout>
      </c:layout>
      <c:barChart>
        <c:barDir val="col"/>
        <c:grouping val="stacked"/>
        <c:varyColors val="0"/>
        <c:ser>
          <c:idx val="0"/>
          <c:order val="0"/>
          <c:tx>
            <c:strRef>
              <c:f>'Piviot Analysis'!$B$28:$B$30</c:f>
              <c:strCache>
                <c:ptCount val="1"/>
                <c:pt idx="0">
                  <c:v>West - Online</c:v>
                </c:pt>
              </c:strCache>
            </c:strRef>
          </c:tx>
          <c:spPr>
            <a:gradFill rotWithShape="1">
              <a:gsLst>
                <a:gs pos="0">
                  <a:schemeClr val="accent2">
                    <a:shade val="45000"/>
                    <a:satMod val="103000"/>
                    <a:lumMod val="102000"/>
                    <a:tint val="94000"/>
                  </a:schemeClr>
                </a:gs>
                <a:gs pos="50000">
                  <a:schemeClr val="accent2">
                    <a:shade val="45000"/>
                    <a:satMod val="110000"/>
                    <a:lumMod val="100000"/>
                    <a:shade val="100000"/>
                  </a:schemeClr>
                </a:gs>
                <a:gs pos="100000">
                  <a:schemeClr val="accent2">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'Piviot Analysis'!$A$31:$A$35</c:f>
              <c:strCache>
                <c:ptCount val="4"/>
                <c:pt idx="0">
                  <c:v>Clothing</c:v>
                </c:pt>
                <c:pt idx="1">
                  <c:v>Electronics</c:v>
                </c:pt>
                <c:pt idx="2">
                  <c:v>Food</c:v>
                </c:pt>
                <c:pt idx="3">
                  <c:v>Furniture</c:v>
                </c:pt>
              </c:strCache>
            </c:strRef>
          </c:cat>
          <c:val>
            <c:numRef>
              <c:f>'Piviot Analysis'!$B$31:$B$35</c:f>
              <c:numCache>
                <c:formatCode>General</c:formatCode>
                <c:ptCount val="4"/>
                <c:pt idx="0">
                  <c:v>714</c:v>
                </c:pt>
                <c:pt idx="1">
                  <c:v>970</c:v>
                </c:pt>
                <c:pt idx="2">
                  <c:v>605</c:v>
                </c:pt>
                <c:pt idx="3">
                  <c:v>1084</c:v>
                </c:pt>
              </c:numCache>
            </c:numRef>
          </c:val>
          <c:extLst>
            <c:ext xmlns:c16="http://schemas.microsoft.com/office/drawing/2014/chart" uri="{C3380CC4-5D6E-409C-BE32-E72D297353CC}">
              <c16:uniqueId val="{00000002-60B1-4C09-83A9-395F7AA52856}"/>
            </c:ext>
          </c:extLst>
        </c:ser>
        <c:ser>
          <c:idx val="1"/>
          <c:order val="1"/>
          <c:tx>
            <c:strRef>
              <c:f>'Piviot Analysis'!$C$28:$C$30</c:f>
              <c:strCache>
                <c:ptCount val="1"/>
                <c:pt idx="0">
                  <c:v>West - Retail</c:v>
                </c:pt>
              </c:strCache>
            </c:strRef>
          </c:tx>
          <c:spPr>
            <a:gradFill rotWithShape="1">
              <a:gsLst>
                <a:gs pos="0">
                  <a:schemeClr val="accent2">
                    <a:shade val="61000"/>
                    <a:satMod val="103000"/>
                    <a:lumMod val="102000"/>
                    <a:tint val="94000"/>
                  </a:schemeClr>
                </a:gs>
                <a:gs pos="50000">
                  <a:schemeClr val="accent2">
                    <a:shade val="61000"/>
                    <a:satMod val="110000"/>
                    <a:lumMod val="100000"/>
                    <a:shade val="100000"/>
                  </a:schemeClr>
                </a:gs>
                <a:gs pos="100000">
                  <a:schemeClr val="accent2">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'Piviot Analysis'!$A$31:$A$35</c:f>
              <c:strCache>
                <c:ptCount val="4"/>
                <c:pt idx="0">
                  <c:v>Clothing</c:v>
                </c:pt>
                <c:pt idx="1">
                  <c:v>Electronics</c:v>
                </c:pt>
                <c:pt idx="2">
                  <c:v>Food</c:v>
                </c:pt>
                <c:pt idx="3">
                  <c:v>Furniture</c:v>
                </c:pt>
              </c:strCache>
            </c:strRef>
          </c:cat>
          <c:val>
            <c:numRef>
              <c:f>'Piviot Analysis'!$C$31:$C$35</c:f>
              <c:numCache>
                <c:formatCode>General</c:formatCode>
                <c:ptCount val="4"/>
                <c:pt idx="0">
                  <c:v>955</c:v>
                </c:pt>
                <c:pt idx="1">
                  <c:v>569</c:v>
                </c:pt>
                <c:pt idx="2">
                  <c:v>784</c:v>
                </c:pt>
                <c:pt idx="3">
                  <c:v>805</c:v>
                </c:pt>
              </c:numCache>
            </c:numRef>
          </c:val>
          <c:extLst>
            <c:ext xmlns:c16="http://schemas.microsoft.com/office/drawing/2014/chart" uri="{C3380CC4-5D6E-409C-BE32-E72D297353CC}">
              <c16:uniqueId val="{00000003-60B1-4C09-83A9-395F7AA52856}"/>
            </c:ext>
          </c:extLst>
        </c:ser>
        <c:ser>
          <c:idx val="2"/>
          <c:order val="2"/>
          <c:tx>
            <c:strRef>
              <c:f>'Piviot Analysis'!$D$28:$D$30</c:f>
              <c:strCache>
                <c:ptCount val="1"/>
                <c:pt idx="0">
                  <c:v>East - Online</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'Piviot Analysis'!$A$31:$A$35</c:f>
              <c:strCache>
                <c:ptCount val="4"/>
                <c:pt idx="0">
                  <c:v>Clothing</c:v>
                </c:pt>
                <c:pt idx="1">
                  <c:v>Electronics</c:v>
                </c:pt>
                <c:pt idx="2">
                  <c:v>Food</c:v>
                </c:pt>
                <c:pt idx="3">
                  <c:v>Furniture</c:v>
                </c:pt>
              </c:strCache>
            </c:strRef>
          </c:cat>
          <c:val>
            <c:numRef>
              <c:f>'Piviot Analysis'!$D$31:$D$35</c:f>
              <c:numCache>
                <c:formatCode>General</c:formatCode>
                <c:ptCount val="4"/>
                <c:pt idx="0">
                  <c:v>661</c:v>
                </c:pt>
                <c:pt idx="1">
                  <c:v>893</c:v>
                </c:pt>
                <c:pt idx="2">
                  <c:v>729</c:v>
                </c:pt>
                <c:pt idx="3">
                  <c:v>570</c:v>
                </c:pt>
              </c:numCache>
            </c:numRef>
          </c:val>
          <c:extLst>
            <c:ext xmlns:c16="http://schemas.microsoft.com/office/drawing/2014/chart" uri="{C3380CC4-5D6E-409C-BE32-E72D297353CC}">
              <c16:uniqueId val="{00000000-622E-43DA-98BE-DE189D8118B8}"/>
            </c:ext>
          </c:extLst>
        </c:ser>
        <c:ser>
          <c:idx val="3"/>
          <c:order val="3"/>
          <c:tx>
            <c:strRef>
              <c:f>'Piviot Analysis'!$E$28:$E$30</c:f>
              <c:strCache>
                <c:ptCount val="1"/>
                <c:pt idx="0">
                  <c:v>East - Retail</c:v>
                </c:pt>
              </c:strCache>
            </c:strRef>
          </c:tx>
          <c:spPr>
            <a:gradFill rotWithShape="1">
              <a:gsLst>
                <a:gs pos="0">
                  <a:schemeClr val="accent2">
                    <a:shade val="92000"/>
                    <a:satMod val="103000"/>
                    <a:lumMod val="102000"/>
                    <a:tint val="94000"/>
                  </a:schemeClr>
                </a:gs>
                <a:gs pos="50000">
                  <a:schemeClr val="accent2">
                    <a:shade val="92000"/>
                    <a:satMod val="110000"/>
                    <a:lumMod val="100000"/>
                    <a:shade val="100000"/>
                  </a:schemeClr>
                </a:gs>
                <a:gs pos="100000">
                  <a:schemeClr val="accent2">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'Piviot Analysis'!$A$31:$A$35</c:f>
              <c:strCache>
                <c:ptCount val="4"/>
                <c:pt idx="0">
                  <c:v>Clothing</c:v>
                </c:pt>
                <c:pt idx="1">
                  <c:v>Electronics</c:v>
                </c:pt>
                <c:pt idx="2">
                  <c:v>Food</c:v>
                </c:pt>
                <c:pt idx="3">
                  <c:v>Furniture</c:v>
                </c:pt>
              </c:strCache>
            </c:strRef>
          </c:cat>
          <c:val>
            <c:numRef>
              <c:f>'Piviot Analysis'!$E$31:$E$35</c:f>
              <c:numCache>
                <c:formatCode>General</c:formatCode>
                <c:ptCount val="4"/>
                <c:pt idx="0">
                  <c:v>1136</c:v>
                </c:pt>
                <c:pt idx="1">
                  <c:v>730</c:v>
                </c:pt>
                <c:pt idx="2">
                  <c:v>734</c:v>
                </c:pt>
                <c:pt idx="3">
                  <c:v>903</c:v>
                </c:pt>
              </c:numCache>
            </c:numRef>
          </c:val>
          <c:extLst>
            <c:ext xmlns:c16="http://schemas.microsoft.com/office/drawing/2014/chart" uri="{C3380CC4-5D6E-409C-BE32-E72D297353CC}">
              <c16:uniqueId val="{00000001-622E-43DA-98BE-DE189D8118B8}"/>
            </c:ext>
          </c:extLst>
        </c:ser>
        <c:ser>
          <c:idx val="4"/>
          <c:order val="4"/>
          <c:tx>
            <c:strRef>
              <c:f>'Piviot Analysis'!$F$28:$F$30</c:f>
              <c:strCache>
                <c:ptCount val="1"/>
                <c:pt idx="0">
                  <c:v>South - Online</c:v>
                </c:pt>
              </c:strCache>
            </c:strRef>
          </c:tx>
          <c:spPr>
            <a:gradFill rotWithShape="1">
              <a:gsLst>
                <a:gs pos="0">
                  <a:schemeClr val="accent2">
                    <a:tint val="93000"/>
                    <a:satMod val="103000"/>
                    <a:lumMod val="102000"/>
                    <a:tint val="94000"/>
                  </a:schemeClr>
                </a:gs>
                <a:gs pos="50000">
                  <a:schemeClr val="accent2">
                    <a:tint val="93000"/>
                    <a:satMod val="110000"/>
                    <a:lumMod val="100000"/>
                    <a:shade val="100000"/>
                  </a:schemeClr>
                </a:gs>
                <a:gs pos="100000">
                  <a:schemeClr val="accent2">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'Piviot Analysis'!$A$31:$A$35</c:f>
              <c:strCache>
                <c:ptCount val="4"/>
                <c:pt idx="0">
                  <c:v>Clothing</c:v>
                </c:pt>
                <c:pt idx="1">
                  <c:v>Electronics</c:v>
                </c:pt>
                <c:pt idx="2">
                  <c:v>Food</c:v>
                </c:pt>
                <c:pt idx="3">
                  <c:v>Furniture</c:v>
                </c:pt>
              </c:strCache>
            </c:strRef>
          </c:cat>
          <c:val>
            <c:numRef>
              <c:f>'Piviot Analysis'!$F$31:$F$35</c:f>
              <c:numCache>
                <c:formatCode>General</c:formatCode>
                <c:ptCount val="4"/>
                <c:pt idx="0">
                  <c:v>678</c:v>
                </c:pt>
                <c:pt idx="1">
                  <c:v>704</c:v>
                </c:pt>
                <c:pt idx="2">
                  <c:v>770</c:v>
                </c:pt>
                <c:pt idx="3">
                  <c:v>811</c:v>
                </c:pt>
              </c:numCache>
            </c:numRef>
          </c:val>
          <c:extLst>
            <c:ext xmlns:c16="http://schemas.microsoft.com/office/drawing/2014/chart" uri="{C3380CC4-5D6E-409C-BE32-E72D297353CC}">
              <c16:uniqueId val="{00000001-2C37-4438-BD68-E5B4922222D6}"/>
            </c:ext>
          </c:extLst>
        </c:ser>
        <c:ser>
          <c:idx val="5"/>
          <c:order val="5"/>
          <c:tx>
            <c:strRef>
              <c:f>'Piviot Analysis'!$G$28:$G$30</c:f>
              <c:strCache>
                <c:ptCount val="1"/>
                <c:pt idx="0">
                  <c:v>South - Retail</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'Piviot Analysis'!$A$31:$A$35</c:f>
              <c:strCache>
                <c:ptCount val="4"/>
                <c:pt idx="0">
                  <c:v>Clothing</c:v>
                </c:pt>
                <c:pt idx="1">
                  <c:v>Electronics</c:v>
                </c:pt>
                <c:pt idx="2">
                  <c:v>Food</c:v>
                </c:pt>
                <c:pt idx="3">
                  <c:v>Furniture</c:v>
                </c:pt>
              </c:strCache>
            </c:strRef>
          </c:cat>
          <c:val>
            <c:numRef>
              <c:f>'Piviot Analysis'!$G$31:$G$35</c:f>
              <c:numCache>
                <c:formatCode>General</c:formatCode>
                <c:ptCount val="4"/>
                <c:pt idx="0">
                  <c:v>839</c:v>
                </c:pt>
                <c:pt idx="1">
                  <c:v>570</c:v>
                </c:pt>
                <c:pt idx="2">
                  <c:v>807</c:v>
                </c:pt>
                <c:pt idx="3">
                  <c:v>629</c:v>
                </c:pt>
              </c:numCache>
            </c:numRef>
          </c:val>
          <c:extLst>
            <c:ext xmlns:c16="http://schemas.microsoft.com/office/drawing/2014/chart" uri="{C3380CC4-5D6E-409C-BE32-E72D297353CC}">
              <c16:uniqueId val="{00000002-2C37-4438-BD68-E5B4922222D6}"/>
            </c:ext>
          </c:extLst>
        </c:ser>
        <c:ser>
          <c:idx val="6"/>
          <c:order val="6"/>
          <c:tx>
            <c:strRef>
              <c:f>'Piviot Analysis'!$H$28:$H$30</c:f>
              <c:strCache>
                <c:ptCount val="1"/>
                <c:pt idx="0">
                  <c:v>North - Online</c:v>
                </c:pt>
              </c:strCache>
            </c:strRef>
          </c:tx>
          <c:spPr>
            <a:gradFill rotWithShape="1">
              <a:gsLst>
                <a:gs pos="0">
                  <a:schemeClr val="accent2">
                    <a:tint val="62000"/>
                    <a:satMod val="103000"/>
                    <a:lumMod val="102000"/>
                    <a:tint val="94000"/>
                  </a:schemeClr>
                </a:gs>
                <a:gs pos="50000">
                  <a:schemeClr val="accent2">
                    <a:tint val="62000"/>
                    <a:satMod val="110000"/>
                    <a:lumMod val="100000"/>
                    <a:shade val="100000"/>
                  </a:schemeClr>
                </a:gs>
                <a:gs pos="100000">
                  <a:schemeClr val="accent2">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'Piviot Analysis'!$A$31:$A$35</c:f>
              <c:strCache>
                <c:ptCount val="4"/>
                <c:pt idx="0">
                  <c:v>Clothing</c:v>
                </c:pt>
                <c:pt idx="1">
                  <c:v>Electronics</c:v>
                </c:pt>
                <c:pt idx="2">
                  <c:v>Food</c:v>
                </c:pt>
                <c:pt idx="3">
                  <c:v>Furniture</c:v>
                </c:pt>
              </c:strCache>
            </c:strRef>
          </c:cat>
          <c:val>
            <c:numRef>
              <c:f>'Piviot Analysis'!$H$31:$H$35</c:f>
              <c:numCache>
                <c:formatCode>General</c:formatCode>
                <c:ptCount val="4"/>
                <c:pt idx="0">
                  <c:v>1044</c:v>
                </c:pt>
                <c:pt idx="1">
                  <c:v>792</c:v>
                </c:pt>
                <c:pt idx="2">
                  <c:v>585</c:v>
                </c:pt>
                <c:pt idx="3">
                  <c:v>992</c:v>
                </c:pt>
              </c:numCache>
            </c:numRef>
          </c:val>
          <c:extLst>
            <c:ext xmlns:c16="http://schemas.microsoft.com/office/drawing/2014/chart" uri="{C3380CC4-5D6E-409C-BE32-E72D297353CC}">
              <c16:uniqueId val="{00000003-2C37-4438-BD68-E5B4922222D6}"/>
            </c:ext>
          </c:extLst>
        </c:ser>
        <c:ser>
          <c:idx val="7"/>
          <c:order val="7"/>
          <c:tx>
            <c:strRef>
              <c:f>'Piviot Analysis'!$I$28:$I$30</c:f>
              <c:strCache>
                <c:ptCount val="1"/>
                <c:pt idx="0">
                  <c:v>North - Retail</c:v>
                </c:pt>
              </c:strCache>
            </c:strRef>
          </c:tx>
          <c:spPr>
            <a:gradFill rotWithShape="1">
              <a:gsLst>
                <a:gs pos="0">
                  <a:schemeClr val="accent2">
                    <a:tint val="46000"/>
                    <a:satMod val="103000"/>
                    <a:lumMod val="102000"/>
                    <a:tint val="94000"/>
                  </a:schemeClr>
                </a:gs>
                <a:gs pos="50000">
                  <a:schemeClr val="accent2">
                    <a:tint val="46000"/>
                    <a:satMod val="110000"/>
                    <a:lumMod val="100000"/>
                    <a:shade val="100000"/>
                  </a:schemeClr>
                </a:gs>
                <a:gs pos="100000">
                  <a:schemeClr val="accent2">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'Piviot Analysis'!$A$31:$A$35</c:f>
              <c:strCache>
                <c:ptCount val="4"/>
                <c:pt idx="0">
                  <c:v>Clothing</c:v>
                </c:pt>
                <c:pt idx="1">
                  <c:v>Electronics</c:v>
                </c:pt>
                <c:pt idx="2">
                  <c:v>Food</c:v>
                </c:pt>
                <c:pt idx="3">
                  <c:v>Furniture</c:v>
                </c:pt>
              </c:strCache>
            </c:strRef>
          </c:cat>
          <c:val>
            <c:numRef>
              <c:f>'Piviot Analysis'!$I$31:$I$35</c:f>
              <c:numCache>
                <c:formatCode>General</c:formatCode>
                <c:ptCount val="4"/>
                <c:pt idx="0">
                  <c:v>895</c:v>
                </c:pt>
                <c:pt idx="1">
                  <c:v>868</c:v>
                </c:pt>
                <c:pt idx="2">
                  <c:v>594</c:v>
                </c:pt>
                <c:pt idx="3">
                  <c:v>935</c:v>
                </c:pt>
              </c:numCache>
            </c:numRef>
          </c:val>
          <c:extLst>
            <c:ext xmlns:c16="http://schemas.microsoft.com/office/drawing/2014/chart" uri="{C3380CC4-5D6E-409C-BE32-E72D297353CC}">
              <c16:uniqueId val="{00000004-2C37-4438-BD68-E5B4922222D6}"/>
            </c:ext>
          </c:extLst>
        </c:ser>
        <c:dLbls>
          <c:dLblPos val="ctr"/>
          <c:showLegendKey val="0"/>
          <c:showVal val="1"/>
          <c:showCatName val="0"/>
          <c:showSerName val="0"/>
          <c:showPercent val="0"/>
          <c:showBubbleSize val="0"/>
        </c:dLbls>
        <c:gapWidth val="150"/>
        <c:overlap val="100"/>
        <c:axId val="1858314815"/>
        <c:axId val="1858326815"/>
      </c:barChart>
      <c:catAx>
        <c:axId val="1858314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326815"/>
        <c:crosses val="autoZero"/>
        <c:auto val="1"/>
        <c:lblAlgn val="ctr"/>
        <c:lblOffset val="100"/>
        <c:noMultiLvlLbl val="0"/>
      </c:catAx>
      <c:valAx>
        <c:axId val="18583268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314815"/>
        <c:crosses val="autoZero"/>
        <c:crossBetween val="between"/>
      </c:valAx>
      <c:spPr>
        <a:noFill/>
        <a:ln>
          <a:noFill/>
        </a:ln>
        <a:effectLst/>
      </c:spPr>
    </c:plotArea>
    <c:legend>
      <c:legendPos val="r"/>
      <c:layout>
        <c:manualLayout>
          <c:xMode val="edge"/>
          <c:yMode val="edge"/>
          <c:x val="0.81754547751414197"/>
          <c:y val="0.11950422863808692"/>
          <c:w val="0.1627971642491442"/>
          <c:h val="0.645692326464575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Analysis.xlsx]Piviot Analysis!PivotTable1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and Profit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Analysis'!$B$8</c:f>
              <c:strCache>
                <c:ptCount val="1"/>
                <c:pt idx="0">
                  <c:v>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'Piviot Analysis'!$A$9:$A$24</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'Piviot Analysis'!$B$9:$B$24</c:f>
              <c:numCache>
                <c:formatCode>_("$"* #,##0.00_);_("$"* \(#,##0.00\);_("$"* "-"??_);_(@_)</c:formatCode>
                <c:ptCount val="13"/>
                <c:pt idx="0">
                  <c:v>7427466.4699999997</c:v>
                </c:pt>
                <c:pt idx="1">
                  <c:v>5627150.9100000001</c:v>
                </c:pt>
                <c:pt idx="2">
                  <c:v>6007955.4000000004</c:v>
                </c:pt>
                <c:pt idx="3">
                  <c:v>5468160.0899999999</c:v>
                </c:pt>
                <c:pt idx="4">
                  <c:v>5800306.6500000004</c:v>
                </c:pt>
                <c:pt idx="5">
                  <c:v>6142236.75</c:v>
                </c:pt>
                <c:pt idx="6">
                  <c:v>4751182.71</c:v>
                </c:pt>
                <c:pt idx="7">
                  <c:v>6715844.5</c:v>
                </c:pt>
                <c:pt idx="8">
                  <c:v>4556715.79</c:v>
                </c:pt>
                <c:pt idx="9">
                  <c:v>6560269.8799999999</c:v>
                </c:pt>
                <c:pt idx="10">
                  <c:v>4958587.54</c:v>
                </c:pt>
                <c:pt idx="11">
                  <c:v>6249941.5300000003</c:v>
                </c:pt>
                <c:pt idx="12">
                  <c:v>60268.27</c:v>
                </c:pt>
              </c:numCache>
            </c:numRef>
          </c:val>
          <c:extLst>
            <c:ext xmlns:c16="http://schemas.microsoft.com/office/drawing/2014/chart" uri="{C3380CC4-5D6E-409C-BE32-E72D297353CC}">
              <c16:uniqueId val="{00000004-6F4D-4E29-890B-9FFDFCF95912}"/>
            </c:ext>
          </c:extLst>
        </c:ser>
        <c:ser>
          <c:idx val="1"/>
          <c:order val="1"/>
          <c:tx>
            <c:strRef>
              <c:f>'Piviot Analysis'!$C$8</c:f>
              <c:strCache>
                <c:ptCount val="1"/>
                <c:pt idx="0">
                  <c:v>Total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'Piviot Analysis'!$A$9:$A$24</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'Piviot Analysis'!$C$9:$C$24</c:f>
              <c:numCache>
                <c:formatCode>_("$"* #,##0.00_);_("$"* \(#,##0.00\);_("$"* "-"??_);_(@_)</c:formatCode>
                <c:ptCount val="13"/>
                <c:pt idx="0">
                  <c:v>654848.01</c:v>
                </c:pt>
                <c:pt idx="1">
                  <c:v>477726.54</c:v>
                </c:pt>
                <c:pt idx="2">
                  <c:v>528327.80000000005</c:v>
                </c:pt>
                <c:pt idx="3">
                  <c:v>495669.29</c:v>
                </c:pt>
                <c:pt idx="4">
                  <c:v>489152.29</c:v>
                </c:pt>
                <c:pt idx="5">
                  <c:v>605667.72</c:v>
                </c:pt>
                <c:pt idx="6">
                  <c:v>447429.05</c:v>
                </c:pt>
                <c:pt idx="7">
                  <c:v>558071.57999999996</c:v>
                </c:pt>
                <c:pt idx="8">
                  <c:v>472640.73</c:v>
                </c:pt>
                <c:pt idx="9">
                  <c:v>584343.31999999995</c:v>
                </c:pt>
                <c:pt idx="10">
                  <c:v>557469.41</c:v>
                </c:pt>
                <c:pt idx="11">
                  <c:v>590096.29</c:v>
                </c:pt>
                <c:pt idx="12">
                  <c:v>22550.82</c:v>
                </c:pt>
              </c:numCache>
            </c:numRef>
          </c:val>
          <c:extLst>
            <c:ext xmlns:c16="http://schemas.microsoft.com/office/drawing/2014/chart" uri="{C3380CC4-5D6E-409C-BE32-E72D297353CC}">
              <c16:uniqueId val="{00000005-6F4D-4E29-890B-9FFDFCF95912}"/>
            </c:ext>
          </c:extLst>
        </c:ser>
        <c:dLbls>
          <c:showLegendKey val="0"/>
          <c:showVal val="0"/>
          <c:showCatName val="0"/>
          <c:showSerName val="0"/>
          <c:showPercent val="0"/>
          <c:showBubbleSize val="0"/>
        </c:dLbls>
        <c:gapWidth val="100"/>
        <c:axId val="720364591"/>
        <c:axId val="720368431"/>
      </c:barChart>
      <c:lineChart>
        <c:grouping val="standard"/>
        <c:varyColors val="0"/>
        <c:ser>
          <c:idx val="2"/>
          <c:order val="2"/>
          <c:tx>
            <c:strRef>
              <c:f>'Piviot Analysis'!$D$8</c:f>
              <c:strCache>
                <c:ptCount val="1"/>
                <c:pt idx="0">
                  <c:v>Quantity Sold</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multiLvlStrRef>
              <c:f>'Piviot Analysis'!$A$9:$A$24</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'Piviot Analysis'!$D$9:$D$24</c:f>
              <c:numCache>
                <c:formatCode>General</c:formatCode>
                <c:ptCount val="13"/>
                <c:pt idx="0">
                  <c:v>100</c:v>
                </c:pt>
                <c:pt idx="1">
                  <c:v>75</c:v>
                </c:pt>
                <c:pt idx="2">
                  <c:v>80</c:v>
                </c:pt>
                <c:pt idx="3">
                  <c:v>81</c:v>
                </c:pt>
                <c:pt idx="4">
                  <c:v>72</c:v>
                </c:pt>
                <c:pt idx="5">
                  <c:v>92</c:v>
                </c:pt>
                <c:pt idx="6">
                  <c:v>68</c:v>
                </c:pt>
                <c:pt idx="7">
                  <c:v>93</c:v>
                </c:pt>
                <c:pt idx="8">
                  <c:v>68</c:v>
                </c:pt>
                <c:pt idx="9">
                  <c:v>88</c:v>
                </c:pt>
                <c:pt idx="10">
                  <c:v>95</c:v>
                </c:pt>
                <c:pt idx="11">
                  <c:v>85</c:v>
                </c:pt>
                <c:pt idx="12">
                  <c:v>3</c:v>
                </c:pt>
              </c:numCache>
            </c:numRef>
          </c:val>
          <c:smooth val="0"/>
          <c:extLst>
            <c:ext xmlns:c16="http://schemas.microsoft.com/office/drawing/2014/chart" uri="{C3380CC4-5D6E-409C-BE32-E72D297353CC}">
              <c16:uniqueId val="{00000001-266F-48DC-8914-5F3BECCD378E}"/>
            </c:ext>
          </c:extLst>
        </c:ser>
        <c:dLbls>
          <c:showLegendKey val="0"/>
          <c:showVal val="0"/>
          <c:showCatName val="0"/>
          <c:showSerName val="0"/>
          <c:showPercent val="0"/>
          <c:showBubbleSize val="0"/>
        </c:dLbls>
        <c:marker val="1"/>
        <c:smooth val="0"/>
        <c:axId val="875350863"/>
        <c:axId val="875342703"/>
      </c:lineChart>
      <c:valAx>
        <c:axId val="875342703"/>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350863"/>
        <c:crosses val="max"/>
        <c:crossBetween val="between"/>
      </c:valAx>
      <c:catAx>
        <c:axId val="8753508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342703"/>
        <c:crosses val="autoZero"/>
        <c:auto val="1"/>
        <c:lblAlgn val="ctr"/>
        <c:lblOffset val="100"/>
        <c:noMultiLvlLbl val="0"/>
      </c:catAx>
      <c:valAx>
        <c:axId val="720368431"/>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364591"/>
        <c:crosses val="autoZero"/>
        <c:crossBetween val="between"/>
      </c:valAx>
      <c:catAx>
        <c:axId val="720364591"/>
        <c:scaling>
          <c:orientation val="minMax"/>
        </c:scaling>
        <c:delete val="1"/>
        <c:axPos val="b"/>
        <c:numFmt formatCode="General" sourceLinked="1"/>
        <c:majorTickMark val="out"/>
        <c:minorTickMark val="none"/>
        <c:tickLblPos val="nextTo"/>
        <c:crossAx val="720368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Data Analysis.xlsx]Piviot Analysis!PivotTable4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 Usage Across Regions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'Piviot Analysis'!$B$48:$B$50</c:f>
              <c:strCache>
                <c:ptCount val="1"/>
                <c:pt idx="0">
                  <c:v>Bank Transfer - New</c:v>
                </c:pt>
              </c:strCache>
            </c:strRef>
          </c:tx>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Analysis'!$A$51:$A$55</c:f>
              <c:strCache>
                <c:ptCount val="4"/>
                <c:pt idx="0">
                  <c:v>East</c:v>
                </c:pt>
                <c:pt idx="1">
                  <c:v>North</c:v>
                </c:pt>
                <c:pt idx="2">
                  <c:v>South</c:v>
                </c:pt>
                <c:pt idx="3">
                  <c:v>West</c:v>
                </c:pt>
              </c:strCache>
            </c:strRef>
          </c:cat>
          <c:val>
            <c:numRef>
              <c:f>'Piviot Analysis'!$B$51:$B$55</c:f>
              <c:numCache>
                <c:formatCode>General</c:formatCode>
                <c:ptCount val="4"/>
                <c:pt idx="0">
                  <c:v>55</c:v>
                </c:pt>
                <c:pt idx="1">
                  <c:v>44</c:v>
                </c:pt>
                <c:pt idx="2">
                  <c:v>35</c:v>
                </c:pt>
                <c:pt idx="3">
                  <c:v>47</c:v>
                </c:pt>
              </c:numCache>
            </c:numRef>
          </c:val>
          <c:extLst>
            <c:ext xmlns:c16="http://schemas.microsoft.com/office/drawing/2014/chart" uri="{C3380CC4-5D6E-409C-BE32-E72D297353CC}">
              <c16:uniqueId val="{00000003-7EB6-400B-A171-C2552D3DEE6D}"/>
            </c:ext>
          </c:extLst>
        </c:ser>
        <c:ser>
          <c:idx val="1"/>
          <c:order val="1"/>
          <c:tx>
            <c:strRef>
              <c:f>'Piviot Analysis'!$C$48:$C$50</c:f>
              <c:strCache>
                <c:ptCount val="1"/>
                <c:pt idx="0">
                  <c:v>Bank Transfer - Returning</c:v>
                </c:pt>
              </c:strCache>
            </c:strRef>
          </c:tx>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Analysis'!$A$51:$A$55</c:f>
              <c:strCache>
                <c:ptCount val="4"/>
                <c:pt idx="0">
                  <c:v>East</c:v>
                </c:pt>
                <c:pt idx="1">
                  <c:v>North</c:v>
                </c:pt>
                <c:pt idx="2">
                  <c:v>South</c:v>
                </c:pt>
                <c:pt idx="3">
                  <c:v>West</c:v>
                </c:pt>
              </c:strCache>
            </c:strRef>
          </c:cat>
          <c:val>
            <c:numRef>
              <c:f>'Piviot Analysis'!$C$51:$C$55</c:f>
              <c:numCache>
                <c:formatCode>General</c:formatCode>
                <c:ptCount val="4"/>
                <c:pt idx="0">
                  <c:v>35</c:v>
                </c:pt>
                <c:pt idx="1">
                  <c:v>39</c:v>
                </c:pt>
                <c:pt idx="2">
                  <c:v>48</c:v>
                </c:pt>
                <c:pt idx="3">
                  <c:v>39</c:v>
                </c:pt>
              </c:numCache>
            </c:numRef>
          </c:val>
          <c:extLst>
            <c:ext xmlns:c16="http://schemas.microsoft.com/office/drawing/2014/chart" uri="{C3380CC4-5D6E-409C-BE32-E72D297353CC}">
              <c16:uniqueId val="{00000000-E624-4EDA-B21A-825F4FDB06A4}"/>
            </c:ext>
          </c:extLst>
        </c:ser>
        <c:ser>
          <c:idx val="2"/>
          <c:order val="2"/>
          <c:tx>
            <c:strRef>
              <c:f>'Piviot Analysis'!$D$48:$D$50</c:f>
              <c:strCache>
                <c:ptCount val="1"/>
                <c:pt idx="0">
                  <c:v>Cash - New</c:v>
                </c:pt>
              </c:strCache>
            </c:strRef>
          </c:tx>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Analysis'!$A$51:$A$55</c:f>
              <c:strCache>
                <c:ptCount val="4"/>
                <c:pt idx="0">
                  <c:v>East</c:v>
                </c:pt>
                <c:pt idx="1">
                  <c:v>North</c:v>
                </c:pt>
                <c:pt idx="2">
                  <c:v>South</c:v>
                </c:pt>
                <c:pt idx="3">
                  <c:v>West</c:v>
                </c:pt>
              </c:strCache>
            </c:strRef>
          </c:cat>
          <c:val>
            <c:numRef>
              <c:f>'Piviot Analysis'!$D$51:$D$55</c:f>
              <c:numCache>
                <c:formatCode>General</c:formatCode>
                <c:ptCount val="4"/>
                <c:pt idx="0">
                  <c:v>44</c:v>
                </c:pt>
                <c:pt idx="1">
                  <c:v>47</c:v>
                </c:pt>
                <c:pt idx="2">
                  <c:v>35</c:v>
                </c:pt>
                <c:pt idx="3">
                  <c:v>34</c:v>
                </c:pt>
              </c:numCache>
            </c:numRef>
          </c:val>
          <c:extLst>
            <c:ext xmlns:c16="http://schemas.microsoft.com/office/drawing/2014/chart" uri="{C3380CC4-5D6E-409C-BE32-E72D297353CC}">
              <c16:uniqueId val="{00000008-3629-4E44-BAFD-DEEDE0685B2D}"/>
            </c:ext>
          </c:extLst>
        </c:ser>
        <c:ser>
          <c:idx val="3"/>
          <c:order val="3"/>
          <c:tx>
            <c:strRef>
              <c:f>'Piviot Analysis'!$E$48:$E$50</c:f>
              <c:strCache>
                <c:ptCount val="1"/>
                <c:pt idx="0">
                  <c:v>Cash - Returning</c:v>
                </c:pt>
              </c:strCache>
            </c:strRef>
          </c:tx>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Analysis'!$A$51:$A$55</c:f>
              <c:strCache>
                <c:ptCount val="4"/>
                <c:pt idx="0">
                  <c:v>East</c:v>
                </c:pt>
                <c:pt idx="1">
                  <c:v>North</c:v>
                </c:pt>
                <c:pt idx="2">
                  <c:v>South</c:v>
                </c:pt>
                <c:pt idx="3">
                  <c:v>West</c:v>
                </c:pt>
              </c:strCache>
            </c:strRef>
          </c:cat>
          <c:val>
            <c:numRef>
              <c:f>'Piviot Analysis'!$E$51:$E$55</c:f>
              <c:numCache>
                <c:formatCode>General</c:formatCode>
                <c:ptCount val="4"/>
                <c:pt idx="0">
                  <c:v>36</c:v>
                </c:pt>
                <c:pt idx="1">
                  <c:v>37</c:v>
                </c:pt>
                <c:pt idx="2">
                  <c:v>33</c:v>
                </c:pt>
                <c:pt idx="3">
                  <c:v>47</c:v>
                </c:pt>
              </c:numCache>
            </c:numRef>
          </c:val>
          <c:extLst>
            <c:ext xmlns:c16="http://schemas.microsoft.com/office/drawing/2014/chart" uri="{C3380CC4-5D6E-409C-BE32-E72D297353CC}">
              <c16:uniqueId val="{00000001-AFB1-445F-959F-5F3835CA3B93}"/>
            </c:ext>
          </c:extLst>
        </c:ser>
        <c:ser>
          <c:idx val="4"/>
          <c:order val="4"/>
          <c:tx>
            <c:strRef>
              <c:f>'Piviot Analysis'!$F$48:$F$50</c:f>
              <c:strCache>
                <c:ptCount val="1"/>
                <c:pt idx="0">
                  <c:v>Credit Card - New</c:v>
                </c:pt>
              </c:strCache>
            </c:strRef>
          </c:tx>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Analysis'!$A$51:$A$55</c:f>
              <c:strCache>
                <c:ptCount val="4"/>
                <c:pt idx="0">
                  <c:v>East</c:v>
                </c:pt>
                <c:pt idx="1">
                  <c:v>North</c:v>
                </c:pt>
                <c:pt idx="2">
                  <c:v>South</c:v>
                </c:pt>
                <c:pt idx="3">
                  <c:v>West</c:v>
                </c:pt>
              </c:strCache>
            </c:strRef>
          </c:cat>
          <c:val>
            <c:numRef>
              <c:f>'Piviot Analysis'!$F$51:$F$55</c:f>
              <c:numCache>
                <c:formatCode>General</c:formatCode>
                <c:ptCount val="4"/>
                <c:pt idx="0">
                  <c:v>39</c:v>
                </c:pt>
                <c:pt idx="1">
                  <c:v>54</c:v>
                </c:pt>
                <c:pt idx="2">
                  <c:v>34</c:v>
                </c:pt>
                <c:pt idx="3">
                  <c:v>36</c:v>
                </c:pt>
              </c:numCache>
            </c:numRef>
          </c:val>
          <c:extLst>
            <c:ext xmlns:c16="http://schemas.microsoft.com/office/drawing/2014/chart" uri="{C3380CC4-5D6E-409C-BE32-E72D297353CC}">
              <c16:uniqueId val="{00000002-AFB1-445F-959F-5F3835CA3B93}"/>
            </c:ext>
          </c:extLst>
        </c:ser>
        <c:ser>
          <c:idx val="5"/>
          <c:order val="5"/>
          <c:tx>
            <c:strRef>
              <c:f>'Piviot Analysis'!$G$48:$G$50</c:f>
              <c:strCache>
                <c:ptCount val="1"/>
                <c:pt idx="0">
                  <c:v>Credit Card - Returning</c:v>
                </c:pt>
              </c:strCache>
            </c:strRef>
          </c:tx>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Analysis'!$A$51:$A$55</c:f>
              <c:strCache>
                <c:ptCount val="4"/>
                <c:pt idx="0">
                  <c:v>East</c:v>
                </c:pt>
                <c:pt idx="1">
                  <c:v>North</c:v>
                </c:pt>
                <c:pt idx="2">
                  <c:v>South</c:v>
                </c:pt>
                <c:pt idx="3">
                  <c:v>West</c:v>
                </c:pt>
              </c:strCache>
            </c:strRef>
          </c:cat>
          <c:val>
            <c:numRef>
              <c:f>'Piviot Analysis'!$G$51:$G$55</c:f>
              <c:numCache>
                <c:formatCode>General</c:formatCode>
                <c:ptCount val="4"/>
                <c:pt idx="0">
                  <c:v>54</c:v>
                </c:pt>
                <c:pt idx="1">
                  <c:v>46</c:v>
                </c:pt>
                <c:pt idx="2">
                  <c:v>41</c:v>
                </c:pt>
                <c:pt idx="3">
                  <c:v>41</c:v>
                </c:pt>
              </c:numCache>
            </c:numRef>
          </c:val>
          <c:extLst>
            <c:ext xmlns:c16="http://schemas.microsoft.com/office/drawing/2014/chart" uri="{C3380CC4-5D6E-409C-BE32-E72D297353CC}">
              <c16:uniqueId val="{00000003-AFB1-445F-959F-5F3835CA3B93}"/>
            </c:ext>
          </c:extLst>
        </c:ser>
        <c:dLbls>
          <c:showLegendKey val="0"/>
          <c:showVal val="0"/>
          <c:showCatName val="0"/>
          <c:showSerName val="0"/>
          <c:showPercent val="0"/>
          <c:showBubbleSize val="0"/>
        </c:dLbls>
        <c:gapWidth val="100"/>
        <c:overlap val="-24"/>
        <c:axId val="1270695103"/>
        <c:axId val="1270683103"/>
      </c:barChart>
      <c:catAx>
        <c:axId val="12706951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683103"/>
        <c:crosses val="autoZero"/>
        <c:auto val="1"/>
        <c:lblAlgn val="ctr"/>
        <c:lblOffset val="100"/>
        <c:noMultiLvlLbl val="0"/>
      </c:catAx>
      <c:valAx>
        <c:axId val="12706831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695103"/>
        <c:crosses val="autoZero"/>
        <c:crossBetween val="between"/>
      </c:valAx>
      <c:spPr>
        <a:noFill/>
        <a:ln>
          <a:noFill/>
        </a:ln>
        <a:effectLst/>
      </c:spPr>
    </c:plotArea>
    <c:legend>
      <c:legendPos val="r"/>
      <c:layout>
        <c:manualLayout>
          <c:xMode val="edge"/>
          <c:yMode val="edge"/>
          <c:x val="0.71069703760773029"/>
          <c:y val="0.20135194247851476"/>
          <c:w val="0.26241512272115763"/>
          <c:h val="0.467651660458630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Data Analysis.xlsx]Piviot Analysis!PivotTable5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Representative Performance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'Piviot Analysis'!$B$38:$B$39</c:f>
              <c:strCache>
                <c:ptCount val="1"/>
                <c:pt idx="0">
                  <c:v>North</c:v>
                </c:pt>
              </c:strCache>
            </c:strRef>
          </c:tx>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Analysis'!$A$40:$A$45</c:f>
              <c:strCache>
                <c:ptCount val="5"/>
                <c:pt idx="0">
                  <c:v>Alice</c:v>
                </c:pt>
                <c:pt idx="1">
                  <c:v>Bob</c:v>
                </c:pt>
                <c:pt idx="2">
                  <c:v>Charlie</c:v>
                </c:pt>
                <c:pt idx="3">
                  <c:v>David</c:v>
                </c:pt>
                <c:pt idx="4">
                  <c:v>Eve</c:v>
                </c:pt>
              </c:strCache>
            </c:strRef>
          </c:cat>
          <c:val>
            <c:numRef>
              <c:f>'Piviot Analysis'!$B$40:$B$45</c:f>
              <c:numCache>
                <c:formatCode>"$"#,##0.00</c:formatCode>
                <c:ptCount val="5"/>
                <c:pt idx="0">
                  <c:v>332389.7</c:v>
                </c:pt>
                <c:pt idx="1">
                  <c:v>277442.84000000003</c:v>
                </c:pt>
                <c:pt idx="2">
                  <c:v>282940.96000000002</c:v>
                </c:pt>
                <c:pt idx="3">
                  <c:v>352190.9</c:v>
                </c:pt>
                <c:pt idx="4">
                  <c:v>415518.98</c:v>
                </c:pt>
              </c:numCache>
            </c:numRef>
          </c:val>
          <c:extLst>
            <c:ext xmlns:c16="http://schemas.microsoft.com/office/drawing/2014/chart" uri="{C3380CC4-5D6E-409C-BE32-E72D297353CC}">
              <c16:uniqueId val="{00000002-62F1-4826-8A17-29528B4B58B8}"/>
            </c:ext>
          </c:extLst>
        </c:ser>
        <c:ser>
          <c:idx val="1"/>
          <c:order val="1"/>
          <c:tx>
            <c:strRef>
              <c:f>'Piviot Analysis'!$C$38:$C$39</c:f>
              <c:strCache>
                <c:ptCount val="1"/>
                <c:pt idx="0">
                  <c:v>South</c:v>
                </c:pt>
              </c:strCache>
            </c:strRef>
          </c:tx>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Analysis'!$A$40:$A$45</c:f>
              <c:strCache>
                <c:ptCount val="5"/>
                <c:pt idx="0">
                  <c:v>Alice</c:v>
                </c:pt>
                <c:pt idx="1">
                  <c:v>Bob</c:v>
                </c:pt>
                <c:pt idx="2">
                  <c:v>Charlie</c:v>
                </c:pt>
                <c:pt idx="3">
                  <c:v>David</c:v>
                </c:pt>
                <c:pt idx="4">
                  <c:v>Eve</c:v>
                </c:pt>
              </c:strCache>
            </c:strRef>
          </c:cat>
          <c:val>
            <c:numRef>
              <c:f>'Piviot Analysis'!$C$40:$C$45</c:f>
              <c:numCache>
                <c:formatCode>"$"#,##0.00</c:formatCode>
                <c:ptCount val="5"/>
                <c:pt idx="0">
                  <c:v>297552.03000000003</c:v>
                </c:pt>
                <c:pt idx="1">
                  <c:v>235985.68</c:v>
                </c:pt>
                <c:pt idx="2">
                  <c:v>222397.64</c:v>
                </c:pt>
                <c:pt idx="3">
                  <c:v>392827.59</c:v>
                </c:pt>
                <c:pt idx="4">
                  <c:v>370091.23</c:v>
                </c:pt>
              </c:numCache>
            </c:numRef>
          </c:val>
          <c:extLst>
            <c:ext xmlns:c16="http://schemas.microsoft.com/office/drawing/2014/chart" uri="{C3380CC4-5D6E-409C-BE32-E72D297353CC}">
              <c16:uniqueId val="{00000000-3035-435C-A1AD-CC66345F677B}"/>
            </c:ext>
          </c:extLst>
        </c:ser>
        <c:ser>
          <c:idx val="2"/>
          <c:order val="2"/>
          <c:tx>
            <c:strRef>
              <c:f>'Piviot Analysis'!$D$38:$D$39</c:f>
              <c:strCache>
                <c:ptCount val="1"/>
                <c:pt idx="0">
                  <c:v>East</c:v>
                </c:pt>
              </c:strCache>
            </c:strRef>
          </c:tx>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Analysis'!$A$40:$A$45</c:f>
              <c:strCache>
                <c:ptCount val="5"/>
                <c:pt idx="0">
                  <c:v>Alice</c:v>
                </c:pt>
                <c:pt idx="1">
                  <c:v>Bob</c:v>
                </c:pt>
                <c:pt idx="2">
                  <c:v>Charlie</c:v>
                </c:pt>
                <c:pt idx="3">
                  <c:v>David</c:v>
                </c:pt>
                <c:pt idx="4">
                  <c:v>Eve</c:v>
                </c:pt>
              </c:strCache>
            </c:strRef>
          </c:cat>
          <c:val>
            <c:numRef>
              <c:f>'Piviot Analysis'!$D$40:$D$45</c:f>
              <c:numCache>
                <c:formatCode>"$"#,##0.00</c:formatCode>
                <c:ptCount val="5"/>
                <c:pt idx="0">
                  <c:v>382220.06</c:v>
                </c:pt>
                <c:pt idx="1">
                  <c:v>279455.88</c:v>
                </c:pt>
                <c:pt idx="2">
                  <c:v>240495.76</c:v>
                </c:pt>
                <c:pt idx="3">
                  <c:v>403242.27</c:v>
                </c:pt>
                <c:pt idx="4">
                  <c:v>344127.31</c:v>
                </c:pt>
              </c:numCache>
            </c:numRef>
          </c:val>
          <c:extLst>
            <c:ext xmlns:c16="http://schemas.microsoft.com/office/drawing/2014/chart" uri="{C3380CC4-5D6E-409C-BE32-E72D297353CC}">
              <c16:uniqueId val="{00000001-3035-435C-A1AD-CC66345F677B}"/>
            </c:ext>
          </c:extLst>
        </c:ser>
        <c:ser>
          <c:idx val="3"/>
          <c:order val="3"/>
          <c:tx>
            <c:strRef>
              <c:f>'Piviot Analysis'!$E$38:$E$39</c:f>
              <c:strCache>
                <c:ptCount val="1"/>
                <c:pt idx="0">
                  <c:v>West</c:v>
                </c:pt>
              </c:strCache>
            </c:strRef>
          </c:tx>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'Piviot Analysis'!$A$40:$A$45</c:f>
              <c:strCache>
                <c:ptCount val="5"/>
                <c:pt idx="0">
                  <c:v>Alice</c:v>
                </c:pt>
                <c:pt idx="1">
                  <c:v>Bob</c:v>
                </c:pt>
                <c:pt idx="2">
                  <c:v>Charlie</c:v>
                </c:pt>
                <c:pt idx="3">
                  <c:v>David</c:v>
                </c:pt>
                <c:pt idx="4">
                  <c:v>Eve</c:v>
                </c:pt>
              </c:strCache>
            </c:strRef>
          </c:cat>
          <c:val>
            <c:numRef>
              <c:f>'Piviot Analysis'!$E$40:$E$45</c:f>
              <c:numCache>
                <c:formatCode>"$"#,##0.00</c:formatCode>
                <c:ptCount val="5"/>
                <c:pt idx="0">
                  <c:v>281971.75</c:v>
                </c:pt>
                <c:pt idx="1">
                  <c:v>377207.71</c:v>
                </c:pt>
                <c:pt idx="2">
                  <c:v>324925.5</c:v>
                </c:pt>
                <c:pt idx="3">
                  <c:v>352478.96</c:v>
                </c:pt>
                <c:pt idx="4">
                  <c:v>318530.09999999998</c:v>
                </c:pt>
              </c:numCache>
            </c:numRef>
          </c:val>
          <c:extLst>
            <c:ext xmlns:c16="http://schemas.microsoft.com/office/drawing/2014/chart" uri="{C3380CC4-5D6E-409C-BE32-E72D297353CC}">
              <c16:uniqueId val="{00000002-3035-435C-A1AD-CC66345F677B}"/>
            </c:ext>
          </c:extLst>
        </c:ser>
        <c:dLbls>
          <c:showLegendKey val="0"/>
          <c:showVal val="0"/>
          <c:showCatName val="0"/>
          <c:showSerName val="0"/>
          <c:showPercent val="0"/>
          <c:showBubbleSize val="0"/>
        </c:dLbls>
        <c:gapWidth val="100"/>
        <c:overlap val="-24"/>
        <c:axId val="1858328735"/>
        <c:axId val="1858324895"/>
      </c:barChart>
      <c:catAx>
        <c:axId val="1858328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324895"/>
        <c:crosses val="autoZero"/>
        <c:auto val="1"/>
        <c:lblAlgn val="ctr"/>
        <c:lblOffset val="100"/>
        <c:noMultiLvlLbl val="0"/>
      </c:catAx>
      <c:valAx>
        <c:axId val="1858324895"/>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832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5.xml"/><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image" Target="../media/image7.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76202</xdr:colOff>
      <xdr:row>3</xdr:row>
      <xdr:rowOff>131323</xdr:rowOff>
    </xdr:from>
    <xdr:to>
      <xdr:col>3</xdr:col>
      <xdr:colOff>446882</xdr:colOff>
      <xdr:row>9</xdr:row>
      <xdr:rowOff>163739</xdr:rowOff>
    </xdr:to>
    <xdr:grpSp>
      <xdr:nvGrpSpPr>
        <xdr:cNvPr id="36" name="Group 35">
          <a:extLst>
            <a:ext uri="{FF2B5EF4-FFF2-40B4-BE49-F238E27FC236}">
              <a16:creationId xmlns:a16="http://schemas.microsoft.com/office/drawing/2014/main" id="{824CC368-02BE-4F45-BB80-5A64FA4306A5}"/>
            </a:ext>
          </a:extLst>
        </xdr:cNvPr>
        <xdr:cNvGrpSpPr/>
      </xdr:nvGrpSpPr>
      <xdr:grpSpPr>
        <a:xfrm>
          <a:off x="76202" y="686494"/>
          <a:ext cx="2558709" cy="1142759"/>
          <a:chOff x="1219200" y="327660"/>
          <a:chExt cx="2350008" cy="1152144"/>
        </a:xfrm>
        <a:solidFill>
          <a:schemeClr val="bg2">
            <a:lumMod val="50000"/>
          </a:schemeClr>
        </a:solidFill>
        <a:effectLst>
          <a:outerShdw blurRad="50800" dist="38100" dir="2700000" algn="tl" rotWithShape="0">
            <a:prstClr val="black">
              <a:alpha val="40000"/>
            </a:prstClr>
          </a:outerShdw>
        </a:effectLst>
      </xdr:grpSpPr>
      <xdr:sp macro="" textlink="'KPI Calculations'!C3">
        <xdr:nvSpPr>
          <xdr:cNvPr id="37" name="Rectangle: Rounded Corners 36">
            <a:extLst>
              <a:ext uri="{FF2B5EF4-FFF2-40B4-BE49-F238E27FC236}">
                <a16:creationId xmlns:a16="http://schemas.microsoft.com/office/drawing/2014/main" id="{6CD2E732-5846-9D06-97CE-F7DA2ACD3E9A}"/>
              </a:ext>
            </a:extLst>
          </xdr:cNvPr>
          <xdr:cNvSpPr/>
        </xdr:nvSpPr>
        <xdr:spPr>
          <a:xfrm>
            <a:off x="1219200" y="327660"/>
            <a:ext cx="2350008" cy="115214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83CFCB1-FFB5-433F-929F-FB6BE09D7732}" type="TxLink">
              <a:rPr lang="en-US" sz="2400" b="1" i="0" u="none" strike="noStrike">
                <a:solidFill>
                  <a:schemeClr val="bg1"/>
                </a:solidFill>
                <a:effectLst>
                  <a:glow rad="101600">
                    <a:schemeClr val="accent3">
                      <a:satMod val="175000"/>
                      <a:alpha val="40000"/>
                    </a:schemeClr>
                  </a:glow>
                </a:effectLst>
                <a:latin typeface="Calibri"/>
                <a:cs typeface="Calibri"/>
              </a:rPr>
              <a:pPr algn="ctr"/>
              <a:t>$70,326,086.49</a:t>
            </a:fld>
            <a:endParaRPr lang="en-US" sz="2400" b="1" i="0">
              <a:solidFill>
                <a:schemeClr val="bg1"/>
              </a:solidFill>
              <a:effectLst>
                <a:glow rad="101600">
                  <a:schemeClr val="accent3">
                    <a:satMod val="175000"/>
                    <a:alpha val="40000"/>
                  </a:schemeClr>
                </a:glow>
              </a:effectLst>
            </a:endParaRPr>
          </a:p>
        </xdr:txBody>
      </xdr:sp>
      <xdr:sp macro="" textlink="">
        <xdr:nvSpPr>
          <xdr:cNvPr id="38" name="TextBox 37">
            <a:extLst>
              <a:ext uri="{FF2B5EF4-FFF2-40B4-BE49-F238E27FC236}">
                <a16:creationId xmlns:a16="http://schemas.microsoft.com/office/drawing/2014/main" id="{C2AAB171-A7BA-6833-CFBD-DC0B1B760A60}"/>
              </a:ext>
            </a:extLst>
          </xdr:cNvPr>
          <xdr:cNvSpPr txBox="1"/>
        </xdr:nvSpPr>
        <xdr:spPr>
          <a:xfrm>
            <a:off x="1828800" y="442839"/>
            <a:ext cx="1258849" cy="36384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i="0">
                <a:solidFill>
                  <a:schemeClr val="bg1"/>
                </a:solidFill>
                <a:effectLst>
                  <a:glow rad="101600">
                    <a:schemeClr val="accent3">
                      <a:satMod val="175000"/>
                      <a:alpha val="40000"/>
                    </a:schemeClr>
                  </a:glow>
                </a:effectLst>
              </a:rPr>
              <a:t>Total</a:t>
            </a:r>
            <a:r>
              <a:rPr lang="en-US" sz="1800" b="1" i="0" baseline="0">
                <a:solidFill>
                  <a:schemeClr val="bg1"/>
                </a:solidFill>
                <a:effectLst>
                  <a:glow rad="101600">
                    <a:schemeClr val="accent3">
                      <a:satMod val="175000"/>
                      <a:alpha val="40000"/>
                    </a:schemeClr>
                  </a:glow>
                </a:effectLst>
              </a:rPr>
              <a:t> Sales</a:t>
            </a:r>
            <a:endParaRPr lang="en-US" sz="1800" b="1" i="0">
              <a:solidFill>
                <a:schemeClr val="bg1"/>
              </a:solidFill>
              <a:effectLst>
                <a:glow rad="101600">
                  <a:schemeClr val="accent3">
                    <a:satMod val="175000"/>
                    <a:alpha val="40000"/>
                  </a:schemeClr>
                </a:glow>
              </a:effectLst>
            </a:endParaRPr>
          </a:p>
        </xdr:txBody>
      </xdr:sp>
      <xdr:pic>
        <xdr:nvPicPr>
          <xdr:cNvPr id="39" name="Graphic 38" descr="Money with solid fill">
            <a:extLst>
              <a:ext uri="{FF2B5EF4-FFF2-40B4-BE49-F238E27FC236}">
                <a16:creationId xmlns:a16="http://schemas.microsoft.com/office/drawing/2014/main" id="{6027B7EF-892F-2003-60B9-1226E5735A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10640" y="365760"/>
            <a:ext cx="518160" cy="518160"/>
          </a:xfrm>
          <a:prstGeom prst="rect">
            <a:avLst/>
          </a:prstGeom>
        </xdr:spPr>
      </xdr:pic>
    </xdr:grpSp>
    <xdr:clientData/>
  </xdr:twoCellAnchor>
  <xdr:twoCellAnchor>
    <xdr:from>
      <xdr:col>5</xdr:col>
      <xdr:colOff>1099796</xdr:colOff>
      <xdr:row>3</xdr:row>
      <xdr:rowOff>131323</xdr:rowOff>
    </xdr:from>
    <xdr:to>
      <xdr:col>9</xdr:col>
      <xdr:colOff>271557</xdr:colOff>
      <xdr:row>9</xdr:row>
      <xdr:rowOff>163739</xdr:rowOff>
    </xdr:to>
    <xdr:grpSp>
      <xdr:nvGrpSpPr>
        <xdr:cNvPr id="40" name="Group 39">
          <a:extLst>
            <a:ext uri="{FF2B5EF4-FFF2-40B4-BE49-F238E27FC236}">
              <a16:creationId xmlns:a16="http://schemas.microsoft.com/office/drawing/2014/main" id="{4B6EB6A1-A73F-4D10-A756-DFD7D463A2AF}"/>
            </a:ext>
          </a:extLst>
        </xdr:cNvPr>
        <xdr:cNvGrpSpPr/>
      </xdr:nvGrpSpPr>
      <xdr:grpSpPr>
        <a:xfrm>
          <a:off x="5867739" y="686494"/>
          <a:ext cx="2557218" cy="1142759"/>
          <a:chOff x="9299846" y="185351"/>
          <a:chExt cx="2350008" cy="1152144"/>
        </a:xfrm>
        <a:effectLst>
          <a:outerShdw blurRad="50800" dist="38100" dir="2700000" algn="tl" rotWithShape="0">
            <a:prstClr val="black">
              <a:alpha val="40000"/>
            </a:prstClr>
          </a:outerShdw>
        </a:effectLst>
      </xdr:grpSpPr>
      <xdr:sp macro="" textlink="'KPI Calculations'!D3">
        <xdr:nvSpPr>
          <xdr:cNvPr id="41" name="Rectangle: Rounded Corners 40">
            <a:extLst>
              <a:ext uri="{FF2B5EF4-FFF2-40B4-BE49-F238E27FC236}">
                <a16:creationId xmlns:a16="http://schemas.microsoft.com/office/drawing/2014/main" id="{57ECA82D-4076-E6EB-8249-C969951746C3}"/>
              </a:ext>
            </a:extLst>
          </xdr:cNvPr>
          <xdr:cNvSpPr/>
        </xdr:nvSpPr>
        <xdr:spPr>
          <a:xfrm>
            <a:off x="9299846" y="185351"/>
            <a:ext cx="2350008" cy="115214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5785F8E-B99D-4291-B15F-B9758EDBA256}" type="TxLink">
              <a:rPr lang="en-US" sz="2400" b="1" i="0" u="none" strike="noStrike">
                <a:solidFill>
                  <a:schemeClr val="bg1"/>
                </a:solidFill>
                <a:effectLst>
                  <a:glow rad="101600">
                    <a:schemeClr val="accent3">
                      <a:satMod val="175000"/>
                      <a:alpha val="40000"/>
                    </a:schemeClr>
                  </a:glow>
                </a:effectLst>
                <a:latin typeface="Calibri"/>
                <a:cs typeface="Calibri"/>
              </a:rPr>
              <a:pPr algn="ctr"/>
              <a:t>25355</a:t>
            </a:fld>
            <a:endParaRPr lang="en-US" sz="4000" b="1" i="0">
              <a:solidFill>
                <a:schemeClr val="bg1"/>
              </a:solidFill>
              <a:effectLst>
                <a:glow rad="101600">
                  <a:schemeClr val="accent3">
                    <a:satMod val="175000"/>
                    <a:alpha val="40000"/>
                  </a:schemeClr>
                </a:glow>
              </a:effectLst>
            </a:endParaRPr>
          </a:p>
        </xdr:txBody>
      </xdr:sp>
      <xdr:sp macro="" textlink="">
        <xdr:nvSpPr>
          <xdr:cNvPr id="42" name="TextBox 41">
            <a:extLst>
              <a:ext uri="{FF2B5EF4-FFF2-40B4-BE49-F238E27FC236}">
                <a16:creationId xmlns:a16="http://schemas.microsoft.com/office/drawing/2014/main" id="{C8C6BB6D-3519-38A7-C4E2-090B5BC5B9B9}"/>
              </a:ext>
            </a:extLst>
          </xdr:cNvPr>
          <xdr:cNvSpPr txBox="1"/>
        </xdr:nvSpPr>
        <xdr:spPr>
          <a:xfrm>
            <a:off x="9813434" y="290233"/>
            <a:ext cx="1459246" cy="374141"/>
          </a:xfrm>
          <a:prstGeom prst="rect">
            <a:avLst/>
          </a:prstGeom>
          <a:solidFill>
            <a:schemeClr val="bg2">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b="1" i="0">
                <a:solidFill>
                  <a:schemeClr val="bg1"/>
                </a:solidFill>
                <a:effectLst>
                  <a:glow rad="101600">
                    <a:schemeClr val="accent3">
                      <a:satMod val="175000"/>
                      <a:alpha val="40000"/>
                    </a:schemeClr>
                  </a:glow>
                </a:effectLst>
              </a:rPr>
              <a:t>Quantity Sold</a:t>
            </a:r>
          </a:p>
        </xdr:txBody>
      </xdr:sp>
      <xdr:grpSp>
        <xdr:nvGrpSpPr>
          <xdr:cNvPr id="43" name="Graphic 44" descr="Checklist with solid fill">
            <a:extLst>
              <a:ext uri="{FF2B5EF4-FFF2-40B4-BE49-F238E27FC236}">
                <a16:creationId xmlns:a16="http://schemas.microsoft.com/office/drawing/2014/main" id="{35C9AF45-6DF2-8872-4216-2A6D42BADE0F}"/>
              </a:ext>
            </a:extLst>
          </xdr:cNvPr>
          <xdr:cNvGrpSpPr/>
        </xdr:nvGrpSpPr>
        <xdr:grpSpPr>
          <a:xfrm>
            <a:off x="9448944" y="309684"/>
            <a:ext cx="372110" cy="375920"/>
            <a:chOff x="4306570" y="340360"/>
            <a:chExt cx="393700" cy="355600"/>
          </a:xfrm>
          <a:solidFill>
            <a:schemeClr val="bg1"/>
          </a:solidFill>
        </xdr:grpSpPr>
        <xdr:sp macro="" textlink="">
          <xdr:nvSpPr>
            <xdr:cNvPr id="44" name="Freeform: Shape 43">
              <a:extLst>
                <a:ext uri="{FF2B5EF4-FFF2-40B4-BE49-F238E27FC236}">
                  <a16:creationId xmlns:a16="http://schemas.microsoft.com/office/drawing/2014/main" id="{F805F36B-E473-EB65-B263-A3F07F76657A}"/>
                </a:ext>
              </a:extLst>
            </xdr:cNvPr>
            <xdr:cNvSpPr/>
          </xdr:nvSpPr>
          <xdr:spPr>
            <a:xfrm>
              <a:off x="4306570" y="340360"/>
              <a:ext cx="393700" cy="355600"/>
            </a:xfrm>
            <a:custGeom>
              <a:avLst/>
              <a:gdLst>
                <a:gd name="connsiteX0" fmla="*/ 38100 w 393700"/>
                <a:gd name="connsiteY0" fmla="*/ 26670 h 355600"/>
                <a:gd name="connsiteX1" fmla="*/ 355600 w 393700"/>
                <a:gd name="connsiteY1" fmla="*/ 26670 h 355600"/>
                <a:gd name="connsiteX2" fmla="*/ 355600 w 393700"/>
                <a:gd name="connsiteY2" fmla="*/ 328930 h 355600"/>
                <a:gd name="connsiteX3" fmla="*/ 38100 w 393700"/>
                <a:gd name="connsiteY3" fmla="*/ 328930 h 355600"/>
                <a:gd name="connsiteX4" fmla="*/ 38100 w 393700"/>
                <a:gd name="connsiteY4" fmla="*/ 26670 h 355600"/>
                <a:gd name="connsiteX5" fmla="*/ 0 w 393700"/>
                <a:gd name="connsiteY5" fmla="*/ 355600 h 355600"/>
                <a:gd name="connsiteX6" fmla="*/ 393700 w 393700"/>
                <a:gd name="connsiteY6" fmla="*/ 355600 h 355600"/>
                <a:gd name="connsiteX7" fmla="*/ 393700 w 393700"/>
                <a:gd name="connsiteY7" fmla="*/ 0 h 355600"/>
                <a:gd name="connsiteX8" fmla="*/ 0 w 393700"/>
                <a:gd name="connsiteY8" fmla="*/ 0 h 355600"/>
                <a:gd name="connsiteX9" fmla="*/ 0 w 393700"/>
                <a:gd name="connsiteY9" fmla="*/ 355600 h 355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93700" h="355600">
                  <a:moveTo>
                    <a:pt x="38100" y="26670"/>
                  </a:moveTo>
                  <a:lnTo>
                    <a:pt x="355600" y="26670"/>
                  </a:lnTo>
                  <a:lnTo>
                    <a:pt x="355600" y="328930"/>
                  </a:lnTo>
                  <a:lnTo>
                    <a:pt x="38100" y="328930"/>
                  </a:lnTo>
                  <a:lnTo>
                    <a:pt x="38100" y="26670"/>
                  </a:lnTo>
                  <a:close/>
                  <a:moveTo>
                    <a:pt x="0" y="355600"/>
                  </a:moveTo>
                  <a:lnTo>
                    <a:pt x="393700" y="355600"/>
                  </a:lnTo>
                  <a:lnTo>
                    <a:pt x="393700" y="0"/>
                  </a:lnTo>
                  <a:lnTo>
                    <a:pt x="0" y="0"/>
                  </a:lnTo>
                  <a:lnTo>
                    <a:pt x="0" y="35560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45" name="Freeform: Shape 44">
              <a:extLst>
                <a:ext uri="{FF2B5EF4-FFF2-40B4-BE49-F238E27FC236}">
                  <a16:creationId xmlns:a16="http://schemas.microsoft.com/office/drawing/2014/main" id="{235F32AE-F2E0-39F5-AE9C-FB9C6B4E4C6F}"/>
                </a:ext>
              </a:extLst>
            </xdr:cNvPr>
            <xdr:cNvSpPr/>
          </xdr:nvSpPr>
          <xdr:spPr>
            <a:xfrm>
              <a:off x="4516120" y="407035"/>
              <a:ext cx="107950" cy="17780"/>
            </a:xfrm>
            <a:custGeom>
              <a:avLst/>
              <a:gdLst>
                <a:gd name="connsiteX0" fmla="*/ 0 w 107950"/>
                <a:gd name="connsiteY0" fmla="*/ 0 h 17780"/>
                <a:gd name="connsiteX1" fmla="*/ 107950 w 107950"/>
                <a:gd name="connsiteY1" fmla="*/ 0 h 17780"/>
                <a:gd name="connsiteX2" fmla="*/ 107950 w 107950"/>
                <a:gd name="connsiteY2" fmla="*/ 17780 h 17780"/>
                <a:gd name="connsiteX3" fmla="*/ 0 w 107950"/>
                <a:gd name="connsiteY3" fmla="*/ 17780 h 17780"/>
              </a:gdLst>
              <a:ahLst/>
              <a:cxnLst>
                <a:cxn ang="0">
                  <a:pos x="connsiteX0" y="connsiteY0"/>
                </a:cxn>
                <a:cxn ang="0">
                  <a:pos x="connsiteX1" y="connsiteY1"/>
                </a:cxn>
                <a:cxn ang="0">
                  <a:pos x="connsiteX2" y="connsiteY2"/>
                </a:cxn>
                <a:cxn ang="0">
                  <a:pos x="connsiteX3" y="connsiteY3"/>
                </a:cxn>
              </a:cxnLst>
              <a:rect l="l" t="t" r="r" b="b"/>
              <a:pathLst>
                <a:path w="107950" h="17780">
                  <a:moveTo>
                    <a:pt x="0" y="0"/>
                  </a:moveTo>
                  <a:lnTo>
                    <a:pt x="107950" y="0"/>
                  </a:lnTo>
                  <a:lnTo>
                    <a:pt x="107950" y="17780"/>
                  </a:lnTo>
                  <a:lnTo>
                    <a:pt x="0" y="1778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56" name="Freeform: Shape 55">
              <a:extLst>
                <a:ext uri="{FF2B5EF4-FFF2-40B4-BE49-F238E27FC236}">
                  <a16:creationId xmlns:a16="http://schemas.microsoft.com/office/drawing/2014/main" id="{72B673BA-4102-14EF-D854-0DF93C70D34B}"/>
                </a:ext>
              </a:extLst>
            </xdr:cNvPr>
            <xdr:cNvSpPr/>
          </xdr:nvSpPr>
          <xdr:spPr>
            <a:xfrm>
              <a:off x="4516120" y="478155"/>
              <a:ext cx="107950" cy="17780"/>
            </a:xfrm>
            <a:custGeom>
              <a:avLst/>
              <a:gdLst>
                <a:gd name="connsiteX0" fmla="*/ 0 w 107950"/>
                <a:gd name="connsiteY0" fmla="*/ 0 h 17780"/>
                <a:gd name="connsiteX1" fmla="*/ 107950 w 107950"/>
                <a:gd name="connsiteY1" fmla="*/ 0 h 17780"/>
                <a:gd name="connsiteX2" fmla="*/ 107950 w 107950"/>
                <a:gd name="connsiteY2" fmla="*/ 17780 h 17780"/>
                <a:gd name="connsiteX3" fmla="*/ 0 w 107950"/>
                <a:gd name="connsiteY3" fmla="*/ 17780 h 17780"/>
              </a:gdLst>
              <a:ahLst/>
              <a:cxnLst>
                <a:cxn ang="0">
                  <a:pos x="connsiteX0" y="connsiteY0"/>
                </a:cxn>
                <a:cxn ang="0">
                  <a:pos x="connsiteX1" y="connsiteY1"/>
                </a:cxn>
                <a:cxn ang="0">
                  <a:pos x="connsiteX2" y="connsiteY2"/>
                </a:cxn>
                <a:cxn ang="0">
                  <a:pos x="connsiteX3" y="connsiteY3"/>
                </a:cxn>
              </a:cxnLst>
              <a:rect l="l" t="t" r="r" b="b"/>
              <a:pathLst>
                <a:path w="107950" h="17780">
                  <a:moveTo>
                    <a:pt x="0" y="0"/>
                  </a:moveTo>
                  <a:lnTo>
                    <a:pt x="107950" y="0"/>
                  </a:lnTo>
                  <a:lnTo>
                    <a:pt x="107950" y="17780"/>
                  </a:lnTo>
                  <a:lnTo>
                    <a:pt x="0" y="1778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58" name="Freeform: Shape 57">
              <a:extLst>
                <a:ext uri="{FF2B5EF4-FFF2-40B4-BE49-F238E27FC236}">
                  <a16:creationId xmlns:a16="http://schemas.microsoft.com/office/drawing/2014/main" id="{2FA99799-F692-E85C-6DCB-0C3E727F4871}"/>
                </a:ext>
              </a:extLst>
            </xdr:cNvPr>
            <xdr:cNvSpPr/>
          </xdr:nvSpPr>
          <xdr:spPr>
            <a:xfrm>
              <a:off x="4516120" y="620395"/>
              <a:ext cx="107950" cy="17780"/>
            </a:xfrm>
            <a:custGeom>
              <a:avLst/>
              <a:gdLst>
                <a:gd name="connsiteX0" fmla="*/ 0 w 107950"/>
                <a:gd name="connsiteY0" fmla="*/ 0 h 17780"/>
                <a:gd name="connsiteX1" fmla="*/ 107950 w 107950"/>
                <a:gd name="connsiteY1" fmla="*/ 0 h 17780"/>
                <a:gd name="connsiteX2" fmla="*/ 107950 w 107950"/>
                <a:gd name="connsiteY2" fmla="*/ 17780 h 17780"/>
                <a:gd name="connsiteX3" fmla="*/ 0 w 107950"/>
                <a:gd name="connsiteY3" fmla="*/ 17780 h 17780"/>
              </a:gdLst>
              <a:ahLst/>
              <a:cxnLst>
                <a:cxn ang="0">
                  <a:pos x="connsiteX0" y="connsiteY0"/>
                </a:cxn>
                <a:cxn ang="0">
                  <a:pos x="connsiteX1" y="connsiteY1"/>
                </a:cxn>
                <a:cxn ang="0">
                  <a:pos x="connsiteX2" y="connsiteY2"/>
                </a:cxn>
                <a:cxn ang="0">
                  <a:pos x="connsiteX3" y="connsiteY3"/>
                </a:cxn>
              </a:cxnLst>
              <a:rect l="l" t="t" r="r" b="b"/>
              <a:pathLst>
                <a:path w="107950" h="17780">
                  <a:moveTo>
                    <a:pt x="0" y="0"/>
                  </a:moveTo>
                  <a:lnTo>
                    <a:pt x="107950" y="0"/>
                  </a:lnTo>
                  <a:lnTo>
                    <a:pt x="107950" y="17780"/>
                  </a:lnTo>
                  <a:lnTo>
                    <a:pt x="0" y="1778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64" name="Freeform: Shape 63">
              <a:extLst>
                <a:ext uri="{FF2B5EF4-FFF2-40B4-BE49-F238E27FC236}">
                  <a16:creationId xmlns:a16="http://schemas.microsoft.com/office/drawing/2014/main" id="{8C87B0C9-08F6-60D5-C740-C2205C1B8CFC}"/>
                </a:ext>
              </a:extLst>
            </xdr:cNvPr>
            <xdr:cNvSpPr/>
          </xdr:nvSpPr>
          <xdr:spPr>
            <a:xfrm>
              <a:off x="4516120" y="549275"/>
              <a:ext cx="107950" cy="17780"/>
            </a:xfrm>
            <a:custGeom>
              <a:avLst/>
              <a:gdLst>
                <a:gd name="connsiteX0" fmla="*/ 0 w 107950"/>
                <a:gd name="connsiteY0" fmla="*/ 0 h 17780"/>
                <a:gd name="connsiteX1" fmla="*/ 107950 w 107950"/>
                <a:gd name="connsiteY1" fmla="*/ 0 h 17780"/>
                <a:gd name="connsiteX2" fmla="*/ 107950 w 107950"/>
                <a:gd name="connsiteY2" fmla="*/ 17780 h 17780"/>
                <a:gd name="connsiteX3" fmla="*/ 0 w 107950"/>
                <a:gd name="connsiteY3" fmla="*/ 17780 h 17780"/>
              </a:gdLst>
              <a:ahLst/>
              <a:cxnLst>
                <a:cxn ang="0">
                  <a:pos x="connsiteX0" y="connsiteY0"/>
                </a:cxn>
                <a:cxn ang="0">
                  <a:pos x="connsiteX1" y="connsiteY1"/>
                </a:cxn>
                <a:cxn ang="0">
                  <a:pos x="connsiteX2" y="connsiteY2"/>
                </a:cxn>
                <a:cxn ang="0">
                  <a:pos x="connsiteX3" y="connsiteY3"/>
                </a:cxn>
              </a:cxnLst>
              <a:rect l="l" t="t" r="r" b="b"/>
              <a:pathLst>
                <a:path w="107950" h="17780">
                  <a:moveTo>
                    <a:pt x="0" y="0"/>
                  </a:moveTo>
                  <a:lnTo>
                    <a:pt x="107950" y="0"/>
                  </a:lnTo>
                  <a:lnTo>
                    <a:pt x="107950" y="17780"/>
                  </a:lnTo>
                  <a:lnTo>
                    <a:pt x="0" y="1778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65" name="Freeform: Shape 64">
              <a:extLst>
                <a:ext uri="{FF2B5EF4-FFF2-40B4-BE49-F238E27FC236}">
                  <a16:creationId xmlns:a16="http://schemas.microsoft.com/office/drawing/2014/main" id="{B7101DD4-9B73-9C62-57EE-345D26E22EC3}"/>
                </a:ext>
              </a:extLst>
            </xdr:cNvPr>
            <xdr:cNvSpPr/>
          </xdr:nvSpPr>
          <xdr:spPr>
            <a:xfrm>
              <a:off x="4382770" y="384810"/>
              <a:ext cx="93979" cy="54229"/>
            </a:xfrm>
            <a:custGeom>
              <a:avLst/>
              <a:gdLst>
                <a:gd name="connsiteX0" fmla="*/ 93980 w 93979"/>
                <a:gd name="connsiteY0" fmla="*/ 12446 h 54229"/>
                <a:gd name="connsiteX1" fmla="*/ 76200 w 93979"/>
                <a:gd name="connsiteY1" fmla="*/ 0 h 54229"/>
                <a:gd name="connsiteX2" fmla="*/ 34290 w 93979"/>
                <a:gd name="connsiteY2" fmla="*/ 29337 h 54229"/>
                <a:gd name="connsiteX3" fmla="*/ 17780 w 93979"/>
                <a:gd name="connsiteY3" fmla="*/ 17780 h 54229"/>
                <a:gd name="connsiteX4" fmla="*/ 0 w 93979"/>
                <a:gd name="connsiteY4" fmla="*/ 30226 h 54229"/>
                <a:gd name="connsiteX5" fmla="*/ 34290 w 93979"/>
                <a:gd name="connsiteY5" fmla="*/ 54229 h 542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3979" h="54229">
                  <a:moveTo>
                    <a:pt x="93980" y="12446"/>
                  </a:moveTo>
                  <a:lnTo>
                    <a:pt x="76200" y="0"/>
                  </a:lnTo>
                  <a:lnTo>
                    <a:pt x="34290" y="29337"/>
                  </a:lnTo>
                  <a:lnTo>
                    <a:pt x="17780" y="17780"/>
                  </a:lnTo>
                  <a:lnTo>
                    <a:pt x="0" y="30226"/>
                  </a:lnTo>
                  <a:lnTo>
                    <a:pt x="34290" y="54229"/>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66" name="Freeform: Shape 65">
              <a:extLst>
                <a:ext uri="{FF2B5EF4-FFF2-40B4-BE49-F238E27FC236}">
                  <a16:creationId xmlns:a16="http://schemas.microsoft.com/office/drawing/2014/main" id="{672986DF-1F92-1CA8-84F1-D52ECF5A2C30}"/>
                </a:ext>
              </a:extLst>
            </xdr:cNvPr>
            <xdr:cNvSpPr/>
          </xdr:nvSpPr>
          <xdr:spPr>
            <a:xfrm>
              <a:off x="4382770" y="455930"/>
              <a:ext cx="93979" cy="54229"/>
            </a:xfrm>
            <a:custGeom>
              <a:avLst/>
              <a:gdLst>
                <a:gd name="connsiteX0" fmla="*/ 93980 w 93979"/>
                <a:gd name="connsiteY0" fmla="*/ 12446 h 54229"/>
                <a:gd name="connsiteX1" fmla="*/ 76200 w 93979"/>
                <a:gd name="connsiteY1" fmla="*/ 0 h 54229"/>
                <a:gd name="connsiteX2" fmla="*/ 34290 w 93979"/>
                <a:gd name="connsiteY2" fmla="*/ 29337 h 54229"/>
                <a:gd name="connsiteX3" fmla="*/ 17780 w 93979"/>
                <a:gd name="connsiteY3" fmla="*/ 17780 h 54229"/>
                <a:gd name="connsiteX4" fmla="*/ 0 w 93979"/>
                <a:gd name="connsiteY4" fmla="*/ 30226 h 54229"/>
                <a:gd name="connsiteX5" fmla="*/ 34290 w 93979"/>
                <a:gd name="connsiteY5" fmla="*/ 54229 h 542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3979" h="54229">
                  <a:moveTo>
                    <a:pt x="93980" y="12446"/>
                  </a:moveTo>
                  <a:lnTo>
                    <a:pt x="76200" y="0"/>
                  </a:lnTo>
                  <a:lnTo>
                    <a:pt x="34290" y="29337"/>
                  </a:lnTo>
                  <a:lnTo>
                    <a:pt x="17780" y="17780"/>
                  </a:lnTo>
                  <a:lnTo>
                    <a:pt x="0" y="30226"/>
                  </a:lnTo>
                  <a:lnTo>
                    <a:pt x="34290" y="54229"/>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67" name="Freeform: Shape 66">
              <a:extLst>
                <a:ext uri="{FF2B5EF4-FFF2-40B4-BE49-F238E27FC236}">
                  <a16:creationId xmlns:a16="http://schemas.microsoft.com/office/drawing/2014/main" id="{05DE3DE1-D1B5-2196-42E6-C19039ABEC4B}"/>
                </a:ext>
              </a:extLst>
            </xdr:cNvPr>
            <xdr:cNvSpPr/>
          </xdr:nvSpPr>
          <xdr:spPr>
            <a:xfrm>
              <a:off x="4382770" y="527050"/>
              <a:ext cx="93979" cy="54229"/>
            </a:xfrm>
            <a:custGeom>
              <a:avLst/>
              <a:gdLst>
                <a:gd name="connsiteX0" fmla="*/ 93980 w 93979"/>
                <a:gd name="connsiteY0" fmla="*/ 12446 h 54229"/>
                <a:gd name="connsiteX1" fmla="*/ 76200 w 93979"/>
                <a:gd name="connsiteY1" fmla="*/ 0 h 54229"/>
                <a:gd name="connsiteX2" fmla="*/ 34290 w 93979"/>
                <a:gd name="connsiteY2" fmla="*/ 29337 h 54229"/>
                <a:gd name="connsiteX3" fmla="*/ 17780 w 93979"/>
                <a:gd name="connsiteY3" fmla="*/ 17780 h 54229"/>
                <a:gd name="connsiteX4" fmla="*/ 0 w 93979"/>
                <a:gd name="connsiteY4" fmla="*/ 30226 h 54229"/>
                <a:gd name="connsiteX5" fmla="*/ 34290 w 93979"/>
                <a:gd name="connsiteY5" fmla="*/ 54229 h 542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3979" h="54229">
                  <a:moveTo>
                    <a:pt x="93980" y="12446"/>
                  </a:moveTo>
                  <a:lnTo>
                    <a:pt x="76200" y="0"/>
                  </a:lnTo>
                  <a:lnTo>
                    <a:pt x="34290" y="29337"/>
                  </a:lnTo>
                  <a:lnTo>
                    <a:pt x="17780" y="17780"/>
                  </a:lnTo>
                  <a:lnTo>
                    <a:pt x="0" y="30226"/>
                  </a:lnTo>
                  <a:lnTo>
                    <a:pt x="34290" y="54229"/>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68" name="Freeform: Shape 67">
              <a:extLst>
                <a:ext uri="{FF2B5EF4-FFF2-40B4-BE49-F238E27FC236}">
                  <a16:creationId xmlns:a16="http://schemas.microsoft.com/office/drawing/2014/main" id="{48762952-8908-B71B-4021-B0E95A4EC97C}"/>
                </a:ext>
              </a:extLst>
            </xdr:cNvPr>
            <xdr:cNvSpPr/>
          </xdr:nvSpPr>
          <xdr:spPr>
            <a:xfrm>
              <a:off x="4382770" y="597281"/>
              <a:ext cx="93979" cy="54228"/>
            </a:xfrm>
            <a:custGeom>
              <a:avLst/>
              <a:gdLst>
                <a:gd name="connsiteX0" fmla="*/ 93980 w 93979"/>
                <a:gd name="connsiteY0" fmla="*/ 12446 h 54228"/>
                <a:gd name="connsiteX1" fmla="*/ 76200 w 93979"/>
                <a:gd name="connsiteY1" fmla="*/ 0 h 54228"/>
                <a:gd name="connsiteX2" fmla="*/ 34290 w 93979"/>
                <a:gd name="connsiteY2" fmla="*/ 29337 h 54228"/>
                <a:gd name="connsiteX3" fmla="*/ 17780 w 93979"/>
                <a:gd name="connsiteY3" fmla="*/ 17780 h 54228"/>
                <a:gd name="connsiteX4" fmla="*/ 0 w 93979"/>
                <a:gd name="connsiteY4" fmla="*/ 30226 h 54228"/>
                <a:gd name="connsiteX5" fmla="*/ 34290 w 93979"/>
                <a:gd name="connsiteY5" fmla="*/ 54229 h 542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3979" h="54228">
                  <a:moveTo>
                    <a:pt x="93980" y="12446"/>
                  </a:moveTo>
                  <a:lnTo>
                    <a:pt x="76200" y="0"/>
                  </a:lnTo>
                  <a:lnTo>
                    <a:pt x="34290" y="29337"/>
                  </a:lnTo>
                  <a:lnTo>
                    <a:pt x="17780" y="17780"/>
                  </a:lnTo>
                  <a:lnTo>
                    <a:pt x="0" y="30226"/>
                  </a:lnTo>
                  <a:lnTo>
                    <a:pt x="34290" y="54229"/>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grpSp>
    </xdr:grpSp>
    <xdr:clientData/>
  </xdr:twoCellAnchor>
  <xdr:twoCellAnchor>
    <xdr:from>
      <xdr:col>3</xdr:col>
      <xdr:colOff>787360</xdr:colOff>
      <xdr:row>3</xdr:row>
      <xdr:rowOff>97973</xdr:rowOff>
    </xdr:from>
    <xdr:to>
      <xdr:col>5</xdr:col>
      <xdr:colOff>762519</xdr:colOff>
      <xdr:row>9</xdr:row>
      <xdr:rowOff>163739</xdr:rowOff>
    </xdr:to>
    <xdr:grpSp>
      <xdr:nvGrpSpPr>
        <xdr:cNvPr id="69" name="Group 68">
          <a:extLst>
            <a:ext uri="{FF2B5EF4-FFF2-40B4-BE49-F238E27FC236}">
              <a16:creationId xmlns:a16="http://schemas.microsoft.com/office/drawing/2014/main" id="{14D186CE-ED50-4A76-A8D2-E28C1033A9FE}"/>
            </a:ext>
          </a:extLst>
        </xdr:cNvPr>
        <xdr:cNvGrpSpPr/>
      </xdr:nvGrpSpPr>
      <xdr:grpSpPr>
        <a:xfrm>
          <a:off x="2975389" y="653144"/>
          <a:ext cx="2555073" cy="1176109"/>
          <a:chOff x="4287012" y="285166"/>
          <a:chExt cx="2350008" cy="1177874"/>
        </a:xfrm>
        <a:solidFill>
          <a:schemeClr val="bg2">
            <a:lumMod val="50000"/>
          </a:schemeClr>
        </a:solidFill>
        <a:effectLst>
          <a:outerShdw blurRad="50800" dist="38100" dir="2700000" algn="tl" rotWithShape="0">
            <a:prstClr val="black">
              <a:alpha val="40000"/>
            </a:prstClr>
          </a:outerShdw>
        </a:effectLst>
      </xdr:grpSpPr>
      <xdr:sp macro="" textlink="'KPI Calculations'!E3">
        <xdr:nvSpPr>
          <xdr:cNvPr id="70" name="Rectangle: Rounded Corners 69">
            <a:extLst>
              <a:ext uri="{FF2B5EF4-FFF2-40B4-BE49-F238E27FC236}">
                <a16:creationId xmlns:a16="http://schemas.microsoft.com/office/drawing/2014/main" id="{C0981B79-9752-032A-54F0-4AF3A29AFD65}"/>
              </a:ext>
            </a:extLst>
          </xdr:cNvPr>
          <xdr:cNvSpPr/>
        </xdr:nvSpPr>
        <xdr:spPr>
          <a:xfrm>
            <a:off x="4287012" y="310896"/>
            <a:ext cx="2350008" cy="115214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946BDD7-3AA2-4CCE-B39C-261685F14F75}" type="TxLink">
              <a:rPr lang="en-US" sz="2400" b="1" i="0" u="none" strike="noStrike">
                <a:solidFill>
                  <a:schemeClr val="bg1"/>
                </a:solidFill>
                <a:effectLst>
                  <a:glow rad="101600">
                    <a:schemeClr val="accent3">
                      <a:satMod val="175000"/>
                      <a:alpha val="40000"/>
                    </a:schemeClr>
                  </a:glow>
                </a:effectLst>
                <a:latin typeface="Calibri"/>
                <a:cs typeface="Calibri"/>
              </a:rPr>
              <a:pPr algn="ctr"/>
              <a:t>$6,483,992.85</a:t>
            </a:fld>
            <a:endParaRPr lang="en-US" sz="4000" b="1" i="0">
              <a:solidFill>
                <a:schemeClr val="bg1"/>
              </a:solidFill>
              <a:effectLst>
                <a:glow rad="101600">
                  <a:schemeClr val="accent3">
                    <a:satMod val="175000"/>
                    <a:alpha val="40000"/>
                  </a:schemeClr>
                </a:glow>
              </a:effectLst>
            </a:endParaRPr>
          </a:p>
        </xdr:txBody>
      </xdr:sp>
      <xdr:sp macro="" textlink="">
        <xdr:nvSpPr>
          <xdr:cNvPr id="71" name="TextBox 70">
            <a:extLst>
              <a:ext uri="{FF2B5EF4-FFF2-40B4-BE49-F238E27FC236}">
                <a16:creationId xmlns:a16="http://schemas.microsoft.com/office/drawing/2014/main" id="{8AABB32B-6509-863D-9573-B0274D801A3A}"/>
              </a:ext>
            </a:extLst>
          </xdr:cNvPr>
          <xdr:cNvSpPr txBox="1"/>
        </xdr:nvSpPr>
        <xdr:spPr>
          <a:xfrm>
            <a:off x="4992264" y="427644"/>
            <a:ext cx="1158220" cy="37975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i="0">
                <a:solidFill>
                  <a:schemeClr val="bg1"/>
                </a:solidFill>
                <a:effectLst>
                  <a:glow rad="101600">
                    <a:schemeClr val="accent3">
                      <a:satMod val="175000"/>
                      <a:alpha val="40000"/>
                    </a:schemeClr>
                  </a:glow>
                </a:effectLst>
              </a:rPr>
              <a:t>Total Profit</a:t>
            </a:r>
          </a:p>
        </xdr:txBody>
      </xdr:sp>
      <xdr:pic>
        <xdr:nvPicPr>
          <xdr:cNvPr id="72" name="Graphic 71" descr="Piggy Bank with solid fill">
            <a:extLst>
              <a:ext uri="{FF2B5EF4-FFF2-40B4-BE49-F238E27FC236}">
                <a16:creationId xmlns:a16="http://schemas.microsoft.com/office/drawing/2014/main" id="{694B1359-4317-E9F3-2BB1-B8D89339078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86072" y="285166"/>
            <a:ext cx="629234" cy="629234"/>
          </a:xfrm>
          <a:prstGeom prst="rect">
            <a:avLst/>
          </a:prstGeom>
        </xdr:spPr>
      </xdr:pic>
    </xdr:grpSp>
    <xdr:clientData/>
  </xdr:twoCellAnchor>
  <xdr:twoCellAnchor>
    <xdr:from>
      <xdr:col>9</xdr:col>
      <xdr:colOff>606687</xdr:colOff>
      <xdr:row>3</xdr:row>
      <xdr:rowOff>131323</xdr:rowOff>
    </xdr:from>
    <xdr:to>
      <xdr:col>14</xdr:col>
      <xdr:colOff>115905</xdr:colOff>
      <xdr:row>9</xdr:row>
      <xdr:rowOff>163739</xdr:rowOff>
    </xdr:to>
    <xdr:grpSp>
      <xdr:nvGrpSpPr>
        <xdr:cNvPr id="73" name="Group 72">
          <a:extLst>
            <a:ext uri="{FF2B5EF4-FFF2-40B4-BE49-F238E27FC236}">
              <a16:creationId xmlns:a16="http://schemas.microsoft.com/office/drawing/2014/main" id="{842A86BA-A5E9-4ED0-A646-48243BCFDDB4}"/>
            </a:ext>
          </a:extLst>
        </xdr:cNvPr>
        <xdr:cNvGrpSpPr/>
      </xdr:nvGrpSpPr>
      <xdr:grpSpPr>
        <a:xfrm>
          <a:off x="8760087" y="686494"/>
          <a:ext cx="2557218" cy="1142759"/>
          <a:chOff x="11513820" y="676656"/>
          <a:chExt cx="2350008" cy="1152144"/>
        </a:xfrm>
        <a:solidFill>
          <a:schemeClr val="bg2">
            <a:lumMod val="50000"/>
          </a:schemeClr>
        </a:solidFill>
        <a:effectLst>
          <a:outerShdw blurRad="50800" dist="38100" dir="2700000" algn="tl" rotWithShape="0">
            <a:prstClr val="black">
              <a:alpha val="40000"/>
            </a:prstClr>
          </a:outerShdw>
        </a:effectLst>
      </xdr:grpSpPr>
      <xdr:sp macro="" textlink="'KPI Calculations'!F3">
        <xdr:nvSpPr>
          <xdr:cNvPr id="74" name="Rectangle: Rounded Corners 73">
            <a:extLst>
              <a:ext uri="{FF2B5EF4-FFF2-40B4-BE49-F238E27FC236}">
                <a16:creationId xmlns:a16="http://schemas.microsoft.com/office/drawing/2014/main" id="{CAE7B962-2BB5-DA34-440F-7984A8D3F6B0}"/>
              </a:ext>
            </a:extLst>
          </xdr:cNvPr>
          <xdr:cNvSpPr/>
        </xdr:nvSpPr>
        <xdr:spPr>
          <a:xfrm>
            <a:off x="11513820" y="676656"/>
            <a:ext cx="2350008" cy="115214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90CB522-E251-4029-A4F6-BAB81D725296}" type="TxLink">
              <a:rPr lang="en-US" sz="2400" b="1" i="0" u="none" strike="noStrike">
                <a:solidFill>
                  <a:schemeClr val="bg1"/>
                </a:solidFill>
                <a:effectLst>
                  <a:glow rad="101600">
                    <a:schemeClr val="accent3">
                      <a:satMod val="175000"/>
                      <a:alpha val="40000"/>
                    </a:schemeClr>
                  </a:glow>
                </a:effectLst>
                <a:latin typeface="Calibri"/>
                <a:cs typeface="Calibri"/>
              </a:rPr>
              <a:pPr algn="ctr"/>
              <a:t>14.27%</a:t>
            </a:fld>
            <a:endParaRPr lang="en-US" sz="4000" b="1" i="0">
              <a:solidFill>
                <a:schemeClr val="bg1"/>
              </a:solidFill>
              <a:effectLst>
                <a:glow rad="101600">
                  <a:schemeClr val="accent3">
                    <a:satMod val="175000"/>
                    <a:alpha val="40000"/>
                  </a:schemeClr>
                </a:glow>
              </a:effectLst>
            </a:endParaRPr>
          </a:p>
        </xdr:txBody>
      </xdr:sp>
      <xdr:sp macro="" textlink="">
        <xdr:nvSpPr>
          <xdr:cNvPr id="75" name="TextBox 74">
            <a:extLst>
              <a:ext uri="{FF2B5EF4-FFF2-40B4-BE49-F238E27FC236}">
                <a16:creationId xmlns:a16="http://schemas.microsoft.com/office/drawing/2014/main" id="{173A7AEB-0512-70D9-2566-2266B613ABE9}"/>
              </a:ext>
            </a:extLst>
          </xdr:cNvPr>
          <xdr:cNvSpPr txBox="1"/>
        </xdr:nvSpPr>
        <xdr:spPr>
          <a:xfrm>
            <a:off x="12092246" y="798576"/>
            <a:ext cx="1340275" cy="38244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i="0">
                <a:solidFill>
                  <a:schemeClr val="bg1"/>
                </a:solidFill>
                <a:effectLst>
                  <a:glow rad="101600">
                    <a:schemeClr val="accent3">
                      <a:satMod val="175000"/>
                      <a:alpha val="40000"/>
                    </a:schemeClr>
                  </a:glow>
                </a:effectLst>
              </a:rPr>
              <a:t>Profit Margin</a:t>
            </a:r>
          </a:p>
        </xdr:txBody>
      </xdr:sp>
      <xdr:pic>
        <xdr:nvPicPr>
          <xdr:cNvPr id="76" name="Graphic 75" descr="Upward trend with solid fill">
            <a:extLst>
              <a:ext uri="{FF2B5EF4-FFF2-40B4-BE49-F238E27FC236}">
                <a16:creationId xmlns:a16="http://schemas.microsoft.com/office/drawing/2014/main" id="{4D776A68-8E03-E735-D842-CDC2D2D0F53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513820" y="693420"/>
            <a:ext cx="609600" cy="6096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117231</xdr:colOff>
      <xdr:row>0</xdr:row>
      <xdr:rowOff>69605</xdr:rowOff>
    </xdr:from>
    <xdr:ext cx="5445369" cy="405432"/>
    <xdr:sp macro="" textlink="">
      <xdr:nvSpPr>
        <xdr:cNvPr id="2" name="TextBox 1">
          <a:extLst>
            <a:ext uri="{FF2B5EF4-FFF2-40B4-BE49-F238E27FC236}">
              <a16:creationId xmlns:a16="http://schemas.microsoft.com/office/drawing/2014/main" id="{50F9AA88-796D-4D5A-2556-F88CC98B643A}"/>
            </a:ext>
          </a:extLst>
        </xdr:cNvPr>
        <xdr:cNvSpPr txBox="1"/>
      </xdr:nvSpPr>
      <xdr:spPr>
        <a:xfrm>
          <a:off x="117231" y="69605"/>
          <a:ext cx="5445369" cy="40543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a:solidFill>
                <a:schemeClr val="bg2">
                  <a:lumMod val="10000"/>
                </a:schemeClr>
              </a:solidFill>
            </a:rPr>
            <a:t>Sales  Performance Analysis </a:t>
          </a:r>
          <a:r>
            <a:rPr lang="en-US" sz="2000" b="1">
              <a:solidFill>
                <a:schemeClr val="tx1"/>
              </a:solidFill>
            </a:rPr>
            <a:t>Dashboard</a:t>
          </a:r>
        </a:p>
      </xdr:txBody>
    </xdr:sp>
    <xdr:clientData/>
  </xdr:oneCellAnchor>
  <xdr:oneCellAnchor>
    <xdr:from>
      <xdr:col>0</xdr:col>
      <xdr:colOff>117231</xdr:colOff>
      <xdr:row>2</xdr:row>
      <xdr:rowOff>113087</xdr:rowOff>
    </xdr:from>
    <xdr:ext cx="8493369" cy="530658"/>
    <xdr:sp macro="" textlink="">
      <xdr:nvSpPr>
        <xdr:cNvPr id="3" name="TextBox 2">
          <a:extLst>
            <a:ext uri="{FF2B5EF4-FFF2-40B4-BE49-F238E27FC236}">
              <a16:creationId xmlns:a16="http://schemas.microsoft.com/office/drawing/2014/main" id="{FEBEEBC2-63B4-3614-5C0A-AF280911512A}"/>
            </a:ext>
          </a:extLst>
        </xdr:cNvPr>
        <xdr:cNvSpPr txBox="1"/>
      </xdr:nvSpPr>
      <xdr:spPr>
        <a:xfrm>
          <a:off x="117231" y="475037"/>
          <a:ext cx="8493369" cy="5306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t>Dataset contains transactional sales data segmented by time, region, channel, product category, payment method, and sales representative.</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11</xdr:col>
      <xdr:colOff>173767</xdr:colOff>
      <xdr:row>8</xdr:row>
      <xdr:rowOff>7398</xdr:rowOff>
    </xdr:from>
    <xdr:to>
      <xdr:col>20</xdr:col>
      <xdr:colOff>35110</xdr:colOff>
      <xdr:row>37</xdr:row>
      <xdr:rowOff>177655</xdr:rowOff>
    </xdr:to>
    <xdr:graphicFrame macro="">
      <xdr:nvGraphicFramePr>
        <xdr:cNvPr id="3" name="Chart 10">
          <a:extLst>
            <a:ext uri="{FF2B5EF4-FFF2-40B4-BE49-F238E27FC236}">
              <a16:creationId xmlns:a16="http://schemas.microsoft.com/office/drawing/2014/main" id="{DB1775A4-4C80-B03A-51DB-DECB0D5CC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280029</xdr:colOff>
      <xdr:row>23</xdr:row>
      <xdr:rowOff>1676</xdr:rowOff>
    </xdr:from>
    <xdr:to>
      <xdr:col>11</xdr:col>
      <xdr:colOff>183330</xdr:colOff>
      <xdr:row>37</xdr:row>
      <xdr:rowOff>180484</xdr:rowOff>
    </xdr:to>
    <xdr:graphicFrame macro="">
      <xdr:nvGraphicFramePr>
        <xdr:cNvPr id="4" name="Chart 11">
          <a:extLst>
            <a:ext uri="{FF2B5EF4-FFF2-40B4-BE49-F238E27FC236}">
              <a16:creationId xmlns:a16="http://schemas.microsoft.com/office/drawing/2014/main" id="{9816E0D4-E1F3-3439-53DE-1746DBF07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13</xdr:row>
      <xdr:rowOff>154879</xdr:rowOff>
    </xdr:from>
    <xdr:to>
      <xdr:col>3</xdr:col>
      <xdr:colOff>283029</xdr:colOff>
      <xdr:row>25</xdr:row>
      <xdr:rowOff>152400</xdr:rowOff>
    </xdr:to>
    <mc:AlternateContent xmlns:mc="http://schemas.openxmlformats.org/markup-compatibility/2006" xmlns:a14="http://schemas.microsoft.com/office/drawing/2010/main">
      <mc:Choice Requires="a14">
        <xdr:graphicFrame macro="">
          <xdr:nvGraphicFramePr>
            <xdr:cNvPr id="7" name="Product Category 1">
              <a:extLst>
                <a:ext uri="{FF2B5EF4-FFF2-40B4-BE49-F238E27FC236}">
                  <a16:creationId xmlns:a16="http://schemas.microsoft.com/office/drawing/2014/main" id="{D06DA382-02EC-4C4D-9372-FB1B676C6C9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2587932"/>
              <a:ext cx="2127871" cy="2243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447312</xdr:colOff>
      <xdr:row>0</xdr:row>
      <xdr:rowOff>5441</xdr:rowOff>
    </xdr:from>
    <xdr:to>
      <xdr:col>32</xdr:col>
      <xdr:colOff>127663</xdr:colOff>
      <xdr:row>8</xdr:row>
      <xdr:rowOff>25789</xdr:rowOff>
    </xdr:to>
    <mc:AlternateContent xmlns:mc="http://schemas.openxmlformats.org/markup-compatibility/2006" xmlns:tsle="http://schemas.microsoft.com/office/drawing/2012/timeslicer">
      <mc:Choice Requires="tsle">
        <xdr:graphicFrame macro="">
          <xdr:nvGraphicFramePr>
            <xdr:cNvPr id="8" name="Sale_Date">
              <a:extLst>
                <a:ext uri="{FF2B5EF4-FFF2-40B4-BE49-F238E27FC236}">
                  <a16:creationId xmlns:a16="http://schemas.microsoft.com/office/drawing/2014/main" id="{29A24999-E533-E981-972B-D6CDBCBDB1BC}"/>
                </a:ext>
              </a:extLst>
            </xdr:cNvPr>
            <xdr:cNvGraphicFramePr/>
          </xdr:nvGraphicFramePr>
          <xdr:xfrm>
            <a:off x="0" y="0"/>
            <a:ext cx="0" cy="0"/>
          </xdr:xfrm>
          <a:graphic>
            <a:graphicData uri="http://schemas.microsoft.com/office/drawing/2012/timeslicer">
              <tsle:timeslicer name="Sale_Date"/>
            </a:graphicData>
          </a:graphic>
        </xdr:graphicFrame>
      </mc:Choice>
      <mc:Fallback xmlns="">
        <xdr:sp macro="" textlink="">
          <xdr:nvSpPr>
            <xdr:cNvPr id="0" name=""/>
            <xdr:cNvSpPr>
              <a:spLocks noTextEdit="1"/>
            </xdr:cNvSpPr>
          </xdr:nvSpPr>
          <xdr:spPr>
            <a:xfrm>
              <a:off x="18187207" y="5441"/>
              <a:ext cx="2140140" cy="15176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25</xdr:row>
      <xdr:rowOff>156308</xdr:rowOff>
    </xdr:from>
    <xdr:to>
      <xdr:col>3</xdr:col>
      <xdr:colOff>283028</xdr:colOff>
      <xdr:row>37</xdr:row>
      <xdr:rowOff>175848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31F7201-8AE6-A06C-14EC-95B58B5F7A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835255"/>
              <a:ext cx="2127870" cy="2265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449385</xdr:colOff>
      <xdr:row>16</xdr:row>
      <xdr:rowOff>85308</xdr:rowOff>
    </xdr:from>
    <xdr:to>
      <xdr:col>32</xdr:col>
      <xdr:colOff>129736</xdr:colOff>
      <xdr:row>25</xdr:row>
      <xdr:rowOff>54428</xdr:rowOff>
    </xdr:to>
    <mc:AlternateContent xmlns:mc="http://schemas.openxmlformats.org/markup-compatibility/2006" xmlns:a14="http://schemas.microsoft.com/office/drawing/2010/main">
      <mc:Choice Requires="a14">
        <xdr:graphicFrame macro="">
          <xdr:nvGraphicFramePr>
            <xdr:cNvPr id="10" name="Customer_Type">
              <a:extLst>
                <a:ext uri="{FF2B5EF4-FFF2-40B4-BE49-F238E27FC236}">
                  <a16:creationId xmlns:a16="http://schemas.microsoft.com/office/drawing/2014/main" id="{80EAC258-A4D0-7CC9-07A9-88BA42ED3E2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8189280" y="3079834"/>
              <a:ext cx="2140140" cy="1653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283029</xdr:colOff>
      <xdr:row>13</xdr:row>
      <xdr:rowOff>152717</xdr:rowOff>
    </xdr:to>
    <mc:AlternateContent xmlns:mc="http://schemas.openxmlformats.org/markup-compatibility/2006" xmlns:a14="http://schemas.microsoft.com/office/drawing/2010/main">
      <mc:Choice Requires="a14">
        <xdr:graphicFrame macro="">
          <xdr:nvGraphicFramePr>
            <xdr:cNvPr id="12" name="Sales_Rep">
              <a:extLst>
                <a:ext uri="{FF2B5EF4-FFF2-40B4-BE49-F238E27FC236}">
                  <a16:creationId xmlns:a16="http://schemas.microsoft.com/office/drawing/2014/main" id="{B3BD321E-99E6-B04D-870B-46C0691AA481}"/>
                </a:ext>
              </a:extLst>
            </xdr:cNvPr>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0" y="0"/>
              <a:ext cx="2127871" cy="2585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452040</xdr:colOff>
      <xdr:row>8</xdr:row>
      <xdr:rowOff>6247</xdr:rowOff>
    </xdr:from>
    <xdr:to>
      <xdr:col>32</xdr:col>
      <xdr:colOff>132391</xdr:colOff>
      <xdr:row>16</xdr:row>
      <xdr:rowOff>68385</xdr:rowOff>
    </xdr:to>
    <mc:AlternateContent xmlns:mc="http://schemas.openxmlformats.org/markup-compatibility/2006" xmlns:a14="http://schemas.microsoft.com/office/drawing/2010/main">
      <mc:Choice Requires="a14">
        <xdr:graphicFrame macro="">
          <xdr:nvGraphicFramePr>
            <xdr:cNvPr id="13" name="Sales_Channel">
              <a:extLst>
                <a:ext uri="{FF2B5EF4-FFF2-40B4-BE49-F238E27FC236}">
                  <a16:creationId xmlns:a16="http://schemas.microsoft.com/office/drawing/2014/main" id="{AEE818DF-2466-B10E-0179-FF5A4E4D49FC}"/>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8191935" y="1503510"/>
              <a:ext cx="2140140" cy="1559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439376</xdr:colOff>
      <xdr:row>25</xdr:row>
      <xdr:rowOff>57290</xdr:rowOff>
    </xdr:from>
    <xdr:to>
      <xdr:col>32</xdr:col>
      <xdr:colOff>117441</xdr:colOff>
      <xdr:row>38</xdr:row>
      <xdr:rowOff>21771</xdr:rowOff>
    </xdr:to>
    <mc:AlternateContent xmlns:mc="http://schemas.openxmlformats.org/markup-compatibility/2006" xmlns:a14="http://schemas.microsoft.com/office/drawing/2010/main">
      <mc:Choice Requires="a14">
        <xdr:graphicFrame macro="">
          <xdr:nvGraphicFramePr>
            <xdr:cNvPr id="14" name="Payment_Method">
              <a:extLst>
                <a:ext uri="{FF2B5EF4-FFF2-40B4-BE49-F238E27FC236}">
                  <a16:creationId xmlns:a16="http://schemas.microsoft.com/office/drawing/2014/main" id="{F732D570-02E4-F9FC-708E-F214AA8690E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8179271" y="4736237"/>
              <a:ext cx="2137854" cy="2397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33002</xdr:colOff>
      <xdr:row>1</xdr:row>
      <xdr:rowOff>33350</xdr:rowOff>
    </xdr:from>
    <xdr:to>
      <xdr:col>14</xdr:col>
      <xdr:colOff>153311</xdr:colOff>
      <xdr:row>7</xdr:row>
      <xdr:rowOff>65766</xdr:rowOff>
    </xdr:to>
    <xdr:grpSp>
      <xdr:nvGrpSpPr>
        <xdr:cNvPr id="80" name="Group 79">
          <a:extLst>
            <a:ext uri="{FF2B5EF4-FFF2-40B4-BE49-F238E27FC236}">
              <a16:creationId xmlns:a16="http://schemas.microsoft.com/office/drawing/2014/main" id="{A2282274-548A-4A86-8710-95EA546E6F39}"/>
            </a:ext>
          </a:extLst>
        </xdr:cNvPr>
        <xdr:cNvGrpSpPr/>
      </xdr:nvGrpSpPr>
      <xdr:grpSpPr>
        <a:xfrm>
          <a:off x="6651516" y="218407"/>
          <a:ext cx="2558709" cy="1142759"/>
          <a:chOff x="1219200" y="327660"/>
          <a:chExt cx="2350008" cy="1152144"/>
        </a:xfrm>
        <a:solidFill>
          <a:schemeClr val="bg2">
            <a:lumMod val="50000"/>
          </a:schemeClr>
        </a:solidFill>
        <a:effectLst>
          <a:outerShdw blurRad="50800" dist="38100" dir="2700000" algn="tl" rotWithShape="0">
            <a:prstClr val="black">
              <a:alpha val="40000"/>
            </a:prstClr>
          </a:outerShdw>
        </a:effectLst>
      </xdr:grpSpPr>
      <xdr:sp macro="" textlink="'KPI Calculations'!C3">
        <xdr:nvSpPr>
          <xdr:cNvPr id="81" name="Rectangle: Rounded Corners 80">
            <a:extLst>
              <a:ext uri="{FF2B5EF4-FFF2-40B4-BE49-F238E27FC236}">
                <a16:creationId xmlns:a16="http://schemas.microsoft.com/office/drawing/2014/main" id="{49B4048B-6250-32E8-FF82-D1D71B8E108B}"/>
              </a:ext>
            </a:extLst>
          </xdr:cNvPr>
          <xdr:cNvSpPr/>
        </xdr:nvSpPr>
        <xdr:spPr>
          <a:xfrm>
            <a:off x="1219200" y="327660"/>
            <a:ext cx="2350008" cy="115214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83CFCB1-FFB5-433F-929F-FB6BE09D7732}" type="TxLink">
              <a:rPr lang="en-US" sz="2400" b="1" i="0" u="none" strike="noStrike">
                <a:solidFill>
                  <a:schemeClr val="bg1"/>
                </a:solidFill>
                <a:effectLst>
                  <a:glow rad="101600">
                    <a:schemeClr val="accent3">
                      <a:satMod val="175000"/>
                      <a:alpha val="40000"/>
                    </a:schemeClr>
                  </a:glow>
                </a:effectLst>
                <a:latin typeface="Calibri"/>
                <a:cs typeface="Calibri"/>
              </a:rPr>
              <a:pPr algn="ctr"/>
              <a:t>$70,326,086.49</a:t>
            </a:fld>
            <a:endParaRPr lang="en-US" sz="2400" b="1" i="0">
              <a:solidFill>
                <a:schemeClr val="bg1"/>
              </a:solidFill>
              <a:effectLst>
                <a:glow rad="101600">
                  <a:schemeClr val="accent3">
                    <a:satMod val="175000"/>
                    <a:alpha val="40000"/>
                  </a:schemeClr>
                </a:glow>
              </a:effectLst>
            </a:endParaRPr>
          </a:p>
        </xdr:txBody>
      </xdr:sp>
      <xdr:sp macro="" textlink="">
        <xdr:nvSpPr>
          <xdr:cNvPr id="82" name="TextBox 81">
            <a:extLst>
              <a:ext uri="{FF2B5EF4-FFF2-40B4-BE49-F238E27FC236}">
                <a16:creationId xmlns:a16="http://schemas.microsoft.com/office/drawing/2014/main" id="{982C80D5-280E-FA3B-B6F6-2EEA8961742A}"/>
              </a:ext>
            </a:extLst>
          </xdr:cNvPr>
          <xdr:cNvSpPr txBox="1"/>
        </xdr:nvSpPr>
        <xdr:spPr>
          <a:xfrm>
            <a:off x="1828800" y="442839"/>
            <a:ext cx="1258849" cy="36384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i="0">
                <a:solidFill>
                  <a:schemeClr val="bg1"/>
                </a:solidFill>
                <a:effectLst>
                  <a:glow rad="101600">
                    <a:schemeClr val="accent3">
                      <a:satMod val="175000"/>
                      <a:alpha val="40000"/>
                    </a:schemeClr>
                  </a:glow>
                </a:effectLst>
              </a:rPr>
              <a:t>Total</a:t>
            </a:r>
            <a:r>
              <a:rPr lang="en-US" sz="1800" b="1" i="0" baseline="0">
                <a:solidFill>
                  <a:schemeClr val="bg1"/>
                </a:solidFill>
                <a:effectLst>
                  <a:glow rad="101600">
                    <a:schemeClr val="accent3">
                      <a:satMod val="175000"/>
                      <a:alpha val="40000"/>
                    </a:schemeClr>
                  </a:glow>
                </a:effectLst>
              </a:rPr>
              <a:t> Sales</a:t>
            </a:r>
            <a:endParaRPr lang="en-US" sz="1800" b="1" i="0">
              <a:solidFill>
                <a:schemeClr val="bg1"/>
              </a:solidFill>
              <a:effectLst>
                <a:glow rad="101600">
                  <a:schemeClr val="accent3">
                    <a:satMod val="175000"/>
                    <a:alpha val="40000"/>
                  </a:schemeClr>
                </a:glow>
              </a:effectLst>
            </a:endParaRPr>
          </a:p>
        </xdr:txBody>
      </xdr:sp>
      <xdr:pic>
        <xdr:nvPicPr>
          <xdr:cNvPr id="83" name="Graphic 82" descr="Money with solid fill">
            <a:extLst>
              <a:ext uri="{FF2B5EF4-FFF2-40B4-BE49-F238E27FC236}">
                <a16:creationId xmlns:a16="http://schemas.microsoft.com/office/drawing/2014/main" id="{533F27E2-4E0D-9DE9-239A-F4366956C9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0640" y="365760"/>
            <a:ext cx="518160" cy="518160"/>
          </a:xfrm>
          <a:prstGeom prst="rect">
            <a:avLst/>
          </a:prstGeom>
        </xdr:spPr>
      </xdr:pic>
    </xdr:grpSp>
    <xdr:clientData/>
  </xdr:twoCellAnchor>
  <xdr:twoCellAnchor>
    <xdr:from>
      <xdr:col>19</xdr:col>
      <xdr:colOff>338139</xdr:colOff>
      <xdr:row>1</xdr:row>
      <xdr:rowOff>33350</xdr:rowOff>
    </xdr:from>
    <xdr:to>
      <xdr:col>23</xdr:col>
      <xdr:colOff>456957</xdr:colOff>
      <xdr:row>7</xdr:row>
      <xdr:rowOff>65766</xdr:rowOff>
    </xdr:to>
    <xdr:grpSp>
      <xdr:nvGrpSpPr>
        <xdr:cNvPr id="105" name="Group 104">
          <a:extLst>
            <a:ext uri="{FF2B5EF4-FFF2-40B4-BE49-F238E27FC236}">
              <a16:creationId xmlns:a16="http://schemas.microsoft.com/office/drawing/2014/main" id="{26E1440B-5D01-226C-B98B-8D35FC2EFCDF}"/>
            </a:ext>
          </a:extLst>
        </xdr:cNvPr>
        <xdr:cNvGrpSpPr/>
      </xdr:nvGrpSpPr>
      <xdr:grpSpPr>
        <a:xfrm>
          <a:off x="12443053" y="218407"/>
          <a:ext cx="2557218" cy="1142759"/>
          <a:chOff x="9299846" y="185351"/>
          <a:chExt cx="2350008" cy="1152144"/>
        </a:xfrm>
        <a:effectLst>
          <a:outerShdw blurRad="50800" dist="38100" dir="2700000" algn="tl" rotWithShape="0">
            <a:prstClr val="black">
              <a:alpha val="40000"/>
            </a:prstClr>
          </a:outerShdw>
        </a:effectLst>
      </xdr:grpSpPr>
      <xdr:sp macro="" textlink="'KPI Calculations'!D3">
        <xdr:nvSpPr>
          <xdr:cNvPr id="85" name="Rectangle: Rounded Corners 84">
            <a:extLst>
              <a:ext uri="{FF2B5EF4-FFF2-40B4-BE49-F238E27FC236}">
                <a16:creationId xmlns:a16="http://schemas.microsoft.com/office/drawing/2014/main" id="{16AF0E56-400D-9325-E724-3D7ABFD2864E}"/>
              </a:ext>
            </a:extLst>
          </xdr:cNvPr>
          <xdr:cNvSpPr/>
        </xdr:nvSpPr>
        <xdr:spPr>
          <a:xfrm>
            <a:off x="9299846" y="185351"/>
            <a:ext cx="2350008" cy="115214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5785F8E-B99D-4291-B15F-B9758EDBA256}" type="TxLink">
              <a:rPr lang="en-US" sz="2400" b="1" i="0" u="none" strike="noStrike">
                <a:solidFill>
                  <a:schemeClr val="bg1"/>
                </a:solidFill>
                <a:effectLst>
                  <a:glow rad="101600">
                    <a:schemeClr val="accent3">
                      <a:satMod val="175000"/>
                      <a:alpha val="40000"/>
                    </a:schemeClr>
                  </a:glow>
                </a:effectLst>
                <a:latin typeface="Calibri"/>
                <a:cs typeface="Calibri"/>
              </a:rPr>
              <a:pPr algn="ctr"/>
              <a:t>25355</a:t>
            </a:fld>
            <a:endParaRPr lang="en-US" sz="4000" b="1" i="0">
              <a:solidFill>
                <a:schemeClr val="bg1"/>
              </a:solidFill>
              <a:effectLst>
                <a:glow rad="101600">
                  <a:schemeClr val="accent3">
                    <a:satMod val="175000"/>
                    <a:alpha val="40000"/>
                  </a:schemeClr>
                </a:glow>
              </a:effectLst>
            </a:endParaRPr>
          </a:p>
        </xdr:txBody>
      </xdr:sp>
      <xdr:sp macro="" textlink="">
        <xdr:nvSpPr>
          <xdr:cNvPr id="86" name="TextBox 85">
            <a:extLst>
              <a:ext uri="{FF2B5EF4-FFF2-40B4-BE49-F238E27FC236}">
                <a16:creationId xmlns:a16="http://schemas.microsoft.com/office/drawing/2014/main" id="{A7C0EE10-E174-548B-CE6E-5330F7C16B49}"/>
              </a:ext>
            </a:extLst>
          </xdr:cNvPr>
          <xdr:cNvSpPr txBox="1"/>
        </xdr:nvSpPr>
        <xdr:spPr>
          <a:xfrm>
            <a:off x="9813434" y="290233"/>
            <a:ext cx="1459246" cy="374141"/>
          </a:xfrm>
          <a:prstGeom prst="rect">
            <a:avLst/>
          </a:prstGeom>
          <a:solidFill>
            <a:schemeClr val="bg2">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800" b="1" i="0">
                <a:solidFill>
                  <a:schemeClr val="bg1"/>
                </a:solidFill>
                <a:effectLst>
                  <a:glow rad="101600">
                    <a:schemeClr val="accent3">
                      <a:satMod val="175000"/>
                      <a:alpha val="40000"/>
                    </a:schemeClr>
                  </a:glow>
                </a:effectLst>
              </a:rPr>
              <a:t>Quantity Sold</a:t>
            </a:r>
          </a:p>
        </xdr:txBody>
      </xdr:sp>
      <xdr:grpSp>
        <xdr:nvGrpSpPr>
          <xdr:cNvPr id="87" name="Graphic 44" descr="Checklist with solid fill">
            <a:extLst>
              <a:ext uri="{FF2B5EF4-FFF2-40B4-BE49-F238E27FC236}">
                <a16:creationId xmlns:a16="http://schemas.microsoft.com/office/drawing/2014/main" id="{E6F047BC-E642-7B28-6C97-3162209CDFB4}"/>
              </a:ext>
            </a:extLst>
          </xdr:cNvPr>
          <xdr:cNvGrpSpPr/>
        </xdr:nvGrpSpPr>
        <xdr:grpSpPr>
          <a:xfrm>
            <a:off x="9448944" y="309684"/>
            <a:ext cx="372110" cy="375920"/>
            <a:chOff x="4306570" y="340360"/>
            <a:chExt cx="393700" cy="355600"/>
          </a:xfrm>
          <a:solidFill>
            <a:schemeClr val="bg1"/>
          </a:solidFill>
        </xdr:grpSpPr>
        <xdr:sp macro="" textlink="">
          <xdr:nvSpPr>
            <xdr:cNvPr id="88" name="Freeform: Shape 87">
              <a:extLst>
                <a:ext uri="{FF2B5EF4-FFF2-40B4-BE49-F238E27FC236}">
                  <a16:creationId xmlns:a16="http://schemas.microsoft.com/office/drawing/2014/main" id="{AE7DE6E4-9BEC-07D4-7E0A-48860E9E613E}"/>
                </a:ext>
              </a:extLst>
            </xdr:cNvPr>
            <xdr:cNvSpPr/>
          </xdr:nvSpPr>
          <xdr:spPr>
            <a:xfrm>
              <a:off x="4306570" y="340360"/>
              <a:ext cx="393700" cy="355600"/>
            </a:xfrm>
            <a:custGeom>
              <a:avLst/>
              <a:gdLst>
                <a:gd name="connsiteX0" fmla="*/ 38100 w 393700"/>
                <a:gd name="connsiteY0" fmla="*/ 26670 h 355600"/>
                <a:gd name="connsiteX1" fmla="*/ 355600 w 393700"/>
                <a:gd name="connsiteY1" fmla="*/ 26670 h 355600"/>
                <a:gd name="connsiteX2" fmla="*/ 355600 w 393700"/>
                <a:gd name="connsiteY2" fmla="*/ 328930 h 355600"/>
                <a:gd name="connsiteX3" fmla="*/ 38100 w 393700"/>
                <a:gd name="connsiteY3" fmla="*/ 328930 h 355600"/>
                <a:gd name="connsiteX4" fmla="*/ 38100 w 393700"/>
                <a:gd name="connsiteY4" fmla="*/ 26670 h 355600"/>
                <a:gd name="connsiteX5" fmla="*/ 0 w 393700"/>
                <a:gd name="connsiteY5" fmla="*/ 355600 h 355600"/>
                <a:gd name="connsiteX6" fmla="*/ 393700 w 393700"/>
                <a:gd name="connsiteY6" fmla="*/ 355600 h 355600"/>
                <a:gd name="connsiteX7" fmla="*/ 393700 w 393700"/>
                <a:gd name="connsiteY7" fmla="*/ 0 h 355600"/>
                <a:gd name="connsiteX8" fmla="*/ 0 w 393700"/>
                <a:gd name="connsiteY8" fmla="*/ 0 h 355600"/>
                <a:gd name="connsiteX9" fmla="*/ 0 w 393700"/>
                <a:gd name="connsiteY9" fmla="*/ 355600 h 3556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393700" h="355600">
                  <a:moveTo>
                    <a:pt x="38100" y="26670"/>
                  </a:moveTo>
                  <a:lnTo>
                    <a:pt x="355600" y="26670"/>
                  </a:lnTo>
                  <a:lnTo>
                    <a:pt x="355600" y="328930"/>
                  </a:lnTo>
                  <a:lnTo>
                    <a:pt x="38100" y="328930"/>
                  </a:lnTo>
                  <a:lnTo>
                    <a:pt x="38100" y="26670"/>
                  </a:lnTo>
                  <a:close/>
                  <a:moveTo>
                    <a:pt x="0" y="355600"/>
                  </a:moveTo>
                  <a:lnTo>
                    <a:pt x="393700" y="355600"/>
                  </a:lnTo>
                  <a:lnTo>
                    <a:pt x="393700" y="0"/>
                  </a:lnTo>
                  <a:lnTo>
                    <a:pt x="0" y="0"/>
                  </a:lnTo>
                  <a:lnTo>
                    <a:pt x="0" y="35560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89" name="Freeform: Shape 88">
              <a:extLst>
                <a:ext uri="{FF2B5EF4-FFF2-40B4-BE49-F238E27FC236}">
                  <a16:creationId xmlns:a16="http://schemas.microsoft.com/office/drawing/2014/main" id="{F514FDD0-632F-84D4-6E7D-291472DEB5C2}"/>
                </a:ext>
              </a:extLst>
            </xdr:cNvPr>
            <xdr:cNvSpPr/>
          </xdr:nvSpPr>
          <xdr:spPr>
            <a:xfrm>
              <a:off x="4516120" y="407035"/>
              <a:ext cx="107950" cy="17780"/>
            </a:xfrm>
            <a:custGeom>
              <a:avLst/>
              <a:gdLst>
                <a:gd name="connsiteX0" fmla="*/ 0 w 107950"/>
                <a:gd name="connsiteY0" fmla="*/ 0 h 17780"/>
                <a:gd name="connsiteX1" fmla="*/ 107950 w 107950"/>
                <a:gd name="connsiteY1" fmla="*/ 0 h 17780"/>
                <a:gd name="connsiteX2" fmla="*/ 107950 w 107950"/>
                <a:gd name="connsiteY2" fmla="*/ 17780 h 17780"/>
                <a:gd name="connsiteX3" fmla="*/ 0 w 107950"/>
                <a:gd name="connsiteY3" fmla="*/ 17780 h 17780"/>
              </a:gdLst>
              <a:ahLst/>
              <a:cxnLst>
                <a:cxn ang="0">
                  <a:pos x="connsiteX0" y="connsiteY0"/>
                </a:cxn>
                <a:cxn ang="0">
                  <a:pos x="connsiteX1" y="connsiteY1"/>
                </a:cxn>
                <a:cxn ang="0">
                  <a:pos x="connsiteX2" y="connsiteY2"/>
                </a:cxn>
                <a:cxn ang="0">
                  <a:pos x="connsiteX3" y="connsiteY3"/>
                </a:cxn>
              </a:cxnLst>
              <a:rect l="l" t="t" r="r" b="b"/>
              <a:pathLst>
                <a:path w="107950" h="17780">
                  <a:moveTo>
                    <a:pt x="0" y="0"/>
                  </a:moveTo>
                  <a:lnTo>
                    <a:pt x="107950" y="0"/>
                  </a:lnTo>
                  <a:lnTo>
                    <a:pt x="107950" y="17780"/>
                  </a:lnTo>
                  <a:lnTo>
                    <a:pt x="0" y="1778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90" name="Freeform: Shape 89">
              <a:extLst>
                <a:ext uri="{FF2B5EF4-FFF2-40B4-BE49-F238E27FC236}">
                  <a16:creationId xmlns:a16="http://schemas.microsoft.com/office/drawing/2014/main" id="{355E8034-0309-65AE-EBB8-FCCB0B8FEC73}"/>
                </a:ext>
              </a:extLst>
            </xdr:cNvPr>
            <xdr:cNvSpPr/>
          </xdr:nvSpPr>
          <xdr:spPr>
            <a:xfrm>
              <a:off x="4516120" y="478155"/>
              <a:ext cx="107950" cy="17780"/>
            </a:xfrm>
            <a:custGeom>
              <a:avLst/>
              <a:gdLst>
                <a:gd name="connsiteX0" fmla="*/ 0 w 107950"/>
                <a:gd name="connsiteY0" fmla="*/ 0 h 17780"/>
                <a:gd name="connsiteX1" fmla="*/ 107950 w 107950"/>
                <a:gd name="connsiteY1" fmla="*/ 0 h 17780"/>
                <a:gd name="connsiteX2" fmla="*/ 107950 w 107950"/>
                <a:gd name="connsiteY2" fmla="*/ 17780 h 17780"/>
                <a:gd name="connsiteX3" fmla="*/ 0 w 107950"/>
                <a:gd name="connsiteY3" fmla="*/ 17780 h 17780"/>
              </a:gdLst>
              <a:ahLst/>
              <a:cxnLst>
                <a:cxn ang="0">
                  <a:pos x="connsiteX0" y="connsiteY0"/>
                </a:cxn>
                <a:cxn ang="0">
                  <a:pos x="connsiteX1" y="connsiteY1"/>
                </a:cxn>
                <a:cxn ang="0">
                  <a:pos x="connsiteX2" y="connsiteY2"/>
                </a:cxn>
                <a:cxn ang="0">
                  <a:pos x="connsiteX3" y="connsiteY3"/>
                </a:cxn>
              </a:cxnLst>
              <a:rect l="l" t="t" r="r" b="b"/>
              <a:pathLst>
                <a:path w="107950" h="17780">
                  <a:moveTo>
                    <a:pt x="0" y="0"/>
                  </a:moveTo>
                  <a:lnTo>
                    <a:pt x="107950" y="0"/>
                  </a:lnTo>
                  <a:lnTo>
                    <a:pt x="107950" y="17780"/>
                  </a:lnTo>
                  <a:lnTo>
                    <a:pt x="0" y="1778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91" name="Freeform: Shape 90">
              <a:extLst>
                <a:ext uri="{FF2B5EF4-FFF2-40B4-BE49-F238E27FC236}">
                  <a16:creationId xmlns:a16="http://schemas.microsoft.com/office/drawing/2014/main" id="{27BA2325-A4B0-D7BB-95F2-0A951D69BE46}"/>
                </a:ext>
              </a:extLst>
            </xdr:cNvPr>
            <xdr:cNvSpPr/>
          </xdr:nvSpPr>
          <xdr:spPr>
            <a:xfrm>
              <a:off x="4516120" y="620395"/>
              <a:ext cx="107950" cy="17780"/>
            </a:xfrm>
            <a:custGeom>
              <a:avLst/>
              <a:gdLst>
                <a:gd name="connsiteX0" fmla="*/ 0 w 107950"/>
                <a:gd name="connsiteY0" fmla="*/ 0 h 17780"/>
                <a:gd name="connsiteX1" fmla="*/ 107950 w 107950"/>
                <a:gd name="connsiteY1" fmla="*/ 0 h 17780"/>
                <a:gd name="connsiteX2" fmla="*/ 107950 w 107950"/>
                <a:gd name="connsiteY2" fmla="*/ 17780 h 17780"/>
                <a:gd name="connsiteX3" fmla="*/ 0 w 107950"/>
                <a:gd name="connsiteY3" fmla="*/ 17780 h 17780"/>
              </a:gdLst>
              <a:ahLst/>
              <a:cxnLst>
                <a:cxn ang="0">
                  <a:pos x="connsiteX0" y="connsiteY0"/>
                </a:cxn>
                <a:cxn ang="0">
                  <a:pos x="connsiteX1" y="connsiteY1"/>
                </a:cxn>
                <a:cxn ang="0">
                  <a:pos x="connsiteX2" y="connsiteY2"/>
                </a:cxn>
                <a:cxn ang="0">
                  <a:pos x="connsiteX3" y="connsiteY3"/>
                </a:cxn>
              </a:cxnLst>
              <a:rect l="l" t="t" r="r" b="b"/>
              <a:pathLst>
                <a:path w="107950" h="17780">
                  <a:moveTo>
                    <a:pt x="0" y="0"/>
                  </a:moveTo>
                  <a:lnTo>
                    <a:pt x="107950" y="0"/>
                  </a:lnTo>
                  <a:lnTo>
                    <a:pt x="107950" y="17780"/>
                  </a:lnTo>
                  <a:lnTo>
                    <a:pt x="0" y="1778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92" name="Freeform: Shape 91">
              <a:extLst>
                <a:ext uri="{FF2B5EF4-FFF2-40B4-BE49-F238E27FC236}">
                  <a16:creationId xmlns:a16="http://schemas.microsoft.com/office/drawing/2014/main" id="{5FCC850A-4775-BCE7-5CF9-522C70D67E1E}"/>
                </a:ext>
              </a:extLst>
            </xdr:cNvPr>
            <xdr:cNvSpPr/>
          </xdr:nvSpPr>
          <xdr:spPr>
            <a:xfrm>
              <a:off x="4516120" y="549275"/>
              <a:ext cx="107950" cy="17780"/>
            </a:xfrm>
            <a:custGeom>
              <a:avLst/>
              <a:gdLst>
                <a:gd name="connsiteX0" fmla="*/ 0 w 107950"/>
                <a:gd name="connsiteY0" fmla="*/ 0 h 17780"/>
                <a:gd name="connsiteX1" fmla="*/ 107950 w 107950"/>
                <a:gd name="connsiteY1" fmla="*/ 0 h 17780"/>
                <a:gd name="connsiteX2" fmla="*/ 107950 w 107950"/>
                <a:gd name="connsiteY2" fmla="*/ 17780 h 17780"/>
                <a:gd name="connsiteX3" fmla="*/ 0 w 107950"/>
                <a:gd name="connsiteY3" fmla="*/ 17780 h 17780"/>
              </a:gdLst>
              <a:ahLst/>
              <a:cxnLst>
                <a:cxn ang="0">
                  <a:pos x="connsiteX0" y="connsiteY0"/>
                </a:cxn>
                <a:cxn ang="0">
                  <a:pos x="connsiteX1" y="connsiteY1"/>
                </a:cxn>
                <a:cxn ang="0">
                  <a:pos x="connsiteX2" y="connsiteY2"/>
                </a:cxn>
                <a:cxn ang="0">
                  <a:pos x="connsiteX3" y="connsiteY3"/>
                </a:cxn>
              </a:cxnLst>
              <a:rect l="l" t="t" r="r" b="b"/>
              <a:pathLst>
                <a:path w="107950" h="17780">
                  <a:moveTo>
                    <a:pt x="0" y="0"/>
                  </a:moveTo>
                  <a:lnTo>
                    <a:pt x="107950" y="0"/>
                  </a:lnTo>
                  <a:lnTo>
                    <a:pt x="107950" y="17780"/>
                  </a:lnTo>
                  <a:lnTo>
                    <a:pt x="0" y="17780"/>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93" name="Freeform: Shape 92">
              <a:extLst>
                <a:ext uri="{FF2B5EF4-FFF2-40B4-BE49-F238E27FC236}">
                  <a16:creationId xmlns:a16="http://schemas.microsoft.com/office/drawing/2014/main" id="{ECA7DA7E-6FE0-B0D7-E58A-768D995D4733}"/>
                </a:ext>
              </a:extLst>
            </xdr:cNvPr>
            <xdr:cNvSpPr/>
          </xdr:nvSpPr>
          <xdr:spPr>
            <a:xfrm>
              <a:off x="4382770" y="384810"/>
              <a:ext cx="93979" cy="54229"/>
            </a:xfrm>
            <a:custGeom>
              <a:avLst/>
              <a:gdLst>
                <a:gd name="connsiteX0" fmla="*/ 93980 w 93979"/>
                <a:gd name="connsiteY0" fmla="*/ 12446 h 54229"/>
                <a:gd name="connsiteX1" fmla="*/ 76200 w 93979"/>
                <a:gd name="connsiteY1" fmla="*/ 0 h 54229"/>
                <a:gd name="connsiteX2" fmla="*/ 34290 w 93979"/>
                <a:gd name="connsiteY2" fmla="*/ 29337 h 54229"/>
                <a:gd name="connsiteX3" fmla="*/ 17780 w 93979"/>
                <a:gd name="connsiteY3" fmla="*/ 17780 h 54229"/>
                <a:gd name="connsiteX4" fmla="*/ 0 w 93979"/>
                <a:gd name="connsiteY4" fmla="*/ 30226 h 54229"/>
                <a:gd name="connsiteX5" fmla="*/ 34290 w 93979"/>
                <a:gd name="connsiteY5" fmla="*/ 54229 h 542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3979" h="54229">
                  <a:moveTo>
                    <a:pt x="93980" y="12446"/>
                  </a:moveTo>
                  <a:lnTo>
                    <a:pt x="76200" y="0"/>
                  </a:lnTo>
                  <a:lnTo>
                    <a:pt x="34290" y="29337"/>
                  </a:lnTo>
                  <a:lnTo>
                    <a:pt x="17780" y="17780"/>
                  </a:lnTo>
                  <a:lnTo>
                    <a:pt x="0" y="30226"/>
                  </a:lnTo>
                  <a:lnTo>
                    <a:pt x="34290" y="54229"/>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94" name="Freeform: Shape 93">
              <a:extLst>
                <a:ext uri="{FF2B5EF4-FFF2-40B4-BE49-F238E27FC236}">
                  <a16:creationId xmlns:a16="http://schemas.microsoft.com/office/drawing/2014/main" id="{ADEA1659-2CA5-0EDA-5DA1-62E5299E11C0}"/>
                </a:ext>
              </a:extLst>
            </xdr:cNvPr>
            <xdr:cNvSpPr/>
          </xdr:nvSpPr>
          <xdr:spPr>
            <a:xfrm>
              <a:off x="4382770" y="455930"/>
              <a:ext cx="93979" cy="54229"/>
            </a:xfrm>
            <a:custGeom>
              <a:avLst/>
              <a:gdLst>
                <a:gd name="connsiteX0" fmla="*/ 93980 w 93979"/>
                <a:gd name="connsiteY0" fmla="*/ 12446 h 54229"/>
                <a:gd name="connsiteX1" fmla="*/ 76200 w 93979"/>
                <a:gd name="connsiteY1" fmla="*/ 0 h 54229"/>
                <a:gd name="connsiteX2" fmla="*/ 34290 w 93979"/>
                <a:gd name="connsiteY2" fmla="*/ 29337 h 54229"/>
                <a:gd name="connsiteX3" fmla="*/ 17780 w 93979"/>
                <a:gd name="connsiteY3" fmla="*/ 17780 h 54229"/>
                <a:gd name="connsiteX4" fmla="*/ 0 w 93979"/>
                <a:gd name="connsiteY4" fmla="*/ 30226 h 54229"/>
                <a:gd name="connsiteX5" fmla="*/ 34290 w 93979"/>
                <a:gd name="connsiteY5" fmla="*/ 54229 h 542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3979" h="54229">
                  <a:moveTo>
                    <a:pt x="93980" y="12446"/>
                  </a:moveTo>
                  <a:lnTo>
                    <a:pt x="76200" y="0"/>
                  </a:lnTo>
                  <a:lnTo>
                    <a:pt x="34290" y="29337"/>
                  </a:lnTo>
                  <a:lnTo>
                    <a:pt x="17780" y="17780"/>
                  </a:lnTo>
                  <a:lnTo>
                    <a:pt x="0" y="30226"/>
                  </a:lnTo>
                  <a:lnTo>
                    <a:pt x="34290" y="54229"/>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95" name="Freeform: Shape 94">
              <a:extLst>
                <a:ext uri="{FF2B5EF4-FFF2-40B4-BE49-F238E27FC236}">
                  <a16:creationId xmlns:a16="http://schemas.microsoft.com/office/drawing/2014/main" id="{93493442-8CC1-E572-0EEF-72785F00A156}"/>
                </a:ext>
              </a:extLst>
            </xdr:cNvPr>
            <xdr:cNvSpPr/>
          </xdr:nvSpPr>
          <xdr:spPr>
            <a:xfrm>
              <a:off x="4382770" y="527050"/>
              <a:ext cx="93979" cy="54229"/>
            </a:xfrm>
            <a:custGeom>
              <a:avLst/>
              <a:gdLst>
                <a:gd name="connsiteX0" fmla="*/ 93980 w 93979"/>
                <a:gd name="connsiteY0" fmla="*/ 12446 h 54229"/>
                <a:gd name="connsiteX1" fmla="*/ 76200 w 93979"/>
                <a:gd name="connsiteY1" fmla="*/ 0 h 54229"/>
                <a:gd name="connsiteX2" fmla="*/ 34290 w 93979"/>
                <a:gd name="connsiteY2" fmla="*/ 29337 h 54229"/>
                <a:gd name="connsiteX3" fmla="*/ 17780 w 93979"/>
                <a:gd name="connsiteY3" fmla="*/ 17780 h 54229"/>
                <a:gd name="connsiteX4" fmla="*/ 0 w 93979"/>
                <a:gd name="connsiteY4" fmla="*/ 30226 h 54229"/>
                <a:gd name="connsiteX5" fmla="*/ 34290 w 93979"/>
                <a:gd name="connsiteY5" fmla="*/ 54229 h 542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3979" h="54229">
                  <a:moveTo>
                    <a:pt x="93980" y="12446"/>
                  </a:moveTo>
                  <a:lnTo>
                    <a:pt x="76200" y="0"/>
                  </a:lnTo>
                  <a:lnTo>
                    <a:pt x="34290" y="29337"/>
                  </a:lnTo>
                  <a:lnTo>
                    <a:pt x="17780" y="17780"/>
                  </a:lnTo>
                  <a:lnTo>
                    <a:pt x="0" y="30226"/>
                  </a:lnTo>
                  <a:lnTo>
                    <a:pt x="34290" y="54229"/>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sp macro="" textlink="">
          <xdr:nvSpPr>
            <xdr:cNvPr id="96" name="Freeform: Shape 95">
              <a:extLst>
                <a:ext uri="{FF2B5EF4-FFF2-40B4-BE49-F238E27FC236}">
                  <a16:creationId xmlns:a16="http://schemas.microsoft.com/office/drawing/2014/main" id="{4AECF60B-CBE2-7BE5-F7DE-5A43BDB37F66}"/>
                </a:ext>
              </a:extLst>
            </xdr:cNvPr>
            <xdr:cNvSpPr/>
          </xdr:nvSpPr>
          <xdr:spPr>
            <a:xfrm>
              <a:off x="4382770" y="597281"/>
              <a:ext cx="93979" cy="54228"/>
            </a:xfrm>
            <a:custGeom>
              <a:avLst/>
              <a:gdLst>
                <a:gd name="connsiteX0" fmla="*/ 93980 w 93979"/>
                <a:gd name="connsiteY0" fmla="*/ 12446 h 54228"/>
                <a:gd name="connsiteX1" fmla="*/ 76200 w 93979"/>
                <a:gd name="connsiteY1" fmla="*/ 0 h 54228"/>
                <a:gd name="connsiteX2" fmla="*/ 34290 w 93979"/>
                <a:gd name="connsiteY2" fmla="*/ 29337 h 54228"/>
                <a:gd name="connsiteX3" fmla="*/ 17780 w 93979"/>
                <a:gd name="connsiteY3" fmla="*/ 17780 h 54228"/>
                <a:gd name="connsiteX4" fmla="*/ 0 w 93979"/>
                <a:gd name="connsiteY4" fmla="*/ 30226 h 54228"/>
                <a:gd name="connsiteX5" fmla="*/ 34290 w 93979"/>
                <a:gd name="connsiteY5" fmla="*/ 54229 h 5422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93979" h="54228">
                  <a:moveTo>
                    <a:pt x="93980" y="12446"/>
                  </a:moveTo>
                  <a:lnTo>
                    <a:pt x="76200" y="0"/>
                  </a:lnTo>
                  <a:lnTo>
                    <a:pt x="34290" y="29337"/>
                  </a:lnTo>
                  <a:lnTo>
                    <a:pt x="17780" y="17780"/>
                  </a:lnTo>
                  <a:lnTo>
                    <a:pt x="0" y="30226"/>
                  </a:lnTo>
                  <a:lnTo>
                    <a:pt x="34290" y="54229"/>
                  </a:lnTo>
                  <a:close/>
                </a:path>
              </a:pathLst>
            </a:custGeom>
            <a:grpFill/>
            <a:ln w="6350" cap="flat">
              <a:noFill/>
              <a:prstDash val="solid"/>
              <a:miter/>
            </a:ln>
          </xdr:spPr>
          <xdr:txBody>
            <a:bodyPr rtlCol="0" anchor="ctr"/>
            <a:lstStyle/>
            <a:p>
              <a:pPr algn="ctr"/>
              <a:endParaRPr lang="en-US" sz="1100" b="1" i="0">
                <a:solidFill>
                  <a:schemeClr val="bg1"/>
                </a:solidFill>
                <a:effectLst>
                  <a:glow rad="101600">
                    <a:schemeClr val="accent3">
                      <a:satMod val="175000"/>
                      <a:alpha val="40000"/>
                    </a:schemeClr>
                  </a:glow>
                </a:effectLst>
              </a:endParaRPr>
            </a:p>
          </xdr:txBody>
        </xdr:sp>
      </xdr:grpSp>
    </xdr:grpSp>
    <xdr:clientData/>
  </xdr:twoCellAnchor>
  <xdr:twoCellAnchor>
    <xdr:from>
      <xdr:col>14</xdr:col>
      <xdr:colOff>493789</xdr:colOff>
      <xdr:row>1</xdr:row>
      <xdr:rowOff>0</xdr:rowOff>
    </xdr:from>
    <xdr:to>
      <xdr:col>19</xdr:col>
      <xdr:colOff>862</xdr:colOff>
      <xdr:row>7</xdr:row>
      <xdr:rowOff>65766</xdr:rowOff>
    </xdr:to>
    <xdr:grpSp>
      <xdr:nvGrpSpPr>
        <xdr:cNvPr id="97" name="Group 96">
          <a:extLst>
            <a:ext uri="{FF2B5EF4-FFF2-40B4-BE49-F238E27FC236}">
              <a16:creationId xmlns:a16="http://schemas.microsoft.com/office/drawing/2014/main" id="{04A49022-FB31-429E-8806-9143621466D2}"/>
            </a:ext>
          </a:extLst>
        </xdr:cNvPr>
        <xdr:cNvGrpSpPr/>
      </xdr:nvGrpSpPr>
      <xdr:grpSpPr>
        <a:xfrm>
          <a:off x="9550703" y="185057"/>
          <a:ext cx="2555073" cy="1176109"/>
          <a:chOff x="4287012" y="285166"/>
          <a:chExt cx="2350008" cy="1177874"/>
        </a:xfrm>
        <a:solidFill>
          <a:schemeClr val="bg2">
            <a:lumMod val="50000"/>
          </a:schemeClr>
        </a:solidFill>
        <a:effectLst>
          <a:outerShdw blurRad="50800" dist="38100" dir="2700000" algn="tl" rotWithShape="0">
            <a:prstClr val="black">
              <a:alpha val="40000"/>
            </a:prstClr>
          </a:outerShdw>
        </a:effectLst>
      </xdr:grpSpPr>
      <xdr:sp macro="" textlink="'KPI Calculations'!E3">
        <xdr:nvSpPr>
          <xdr:cNvPr id="98" name="Rectangle: Rounded Corners 97">
            <a:extLst>
              <a:ext uri="{FF2B5EF4-FFF2-40B4-BE49-F238E27FC236}">
                <a16:creationId xmlns:a16="http://schemas.microsoft.com/office/drawing/2014/main" id="{BB1A2A60-3816-669F-470C-02C8E81FEE20}"/>
              </a:ext>
            </a:extLst>
          </xdr:cNvPr>
          <xdr:cNvSpPr/>
        </xdr:nvSpPr>
        <xdr:spPr>
          <a:xfrm>
            <a:off x="4287012" y="310896"/>
            <a:ext cx="2350008" cy="115214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946BDD7-3AA2-4CCE-B39C-261685F14F75}" type="TxLink">
              <a:rPr lang="en-US" sz="2400" b="1" i="0" u="none" strike="noStrike">
                <a:solidFill>
                  <a:schemeClr val="bg1"/>
                </a:solidFill>
                <a:effectLst>
                  <a:glow rad="101600">
                    <a:schemeClr val="accent3">
                      <a:satMod val="175000"/>
                      <a:alpha val="40000"/>
                    </a:schemeClr>
                  </a:glow>
                </a:effectLst>
                <a:latin typeface="Calibri"/>
                <a:cs typeface="Calibri"/>
              </a:rPr>
              <a:pPr algn="ctr"/>
              <a:t>$6,483,992.85</a:t>
            </a:fld>
            <a:endParaRPr lang="en-US" sz="4000" b="1" i="0">
              <a:solidFill>
                <a:schemeClr val="bg1"/>
              </a:solidFill>
              <a:effectLst>
                <a:glow rad="101600">
                  <a:schemeClr val="accent3">
                    <a:satMod val="175000"/>
                    <a:alpha val="40000"/>
                  </a:schemeClr>
                </a:glow>
              </a:effectLst>
            </a:endParaRPr>
          </a:p>
        </xdr:txBody>
      </xdr:sp>
      <xdr:sp macro="" textlink="">
        <xdr:nvSpPr>
          <xdr:cNvPr id="99" name="TextBox 98">
            <a:extLst>
              <a:ext uri="{FF2B5EF4-FFF2-40B4-BE49-F238E27FC236}">
                <a16:creationId xmlns:a16="http://schemas.microsoft.com/office/drawing/2014/main" id="{B6C5D34D-09C0-E435-B98A-819CB8201A6C}"/>
              </a:ext>
            </a:extLst>
          </xdr:cNvPr>
          <xdr:cNvSpPr txBox="1"/>
        </xdr:nvSpPr>
        <xdr:spPr>
          <a:xfrm>
            <a:off x="4992264" y="427644"/>
            <a:ext cx="1158220" cy="37975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i="0">
                <a:solidFill>
                  <a:schemeClr val="bg1"/>
                </a:solidFill>
                <a:effectLst>
                  <a:glow rad="101600">
                    <a:schemeClr val="accent3">
                      <a:satMod val="175000"/>
                      <a:alpha val="40000"/>
                    </a:schemeClr>
                  </a:glow>
                </a:effectLst>
              </a:rPr>
              <a:t>Total Profit</a:t>
            </a:r>
          </a:p>
        </xdr:txBody>
      </xdr:sp>
      <xdr:pic>
        <xdr:nvPicPr>
          <xdr:cNvPr id="100" name="Graphic 99" descr="Piggy Bank with solid fill">
            <a:extLst>
              <a:ext uri="{FF2B5EF4-FFF2-40B4-BE49-F238E27FC236}">
                <a16:creationId xmlns:a16="http://schemas.microsoft.com/office/drawing/2014/main" id="{AE693C5C-BE63-CC9C-7E6F-4C2ED9557F9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386072" y="285166"/>
            <a:ext cx="629234" cy="629234"/>
          </a:xfrm>
          <a:prstGeom prst="rect">
            <a:avLst/>
          </a:prstGeom>
        </xdr:spPr>
      </xdr:pic>
    </xdr:grpSp>
    <xdr:clientData/>
  </xdr:twoCellAnchor>
  <xdr:twoCellAnchor>
    <xdr:from>
      <xdr:col>24</xdr:col>
      <xdr:colOff>182487</xdr:colOff>
      <xdr:row>1</xdr:row>
      <xdr:rowOff>33350</xdr:rowOff>
    </xdr:from>
    <xdr:to>
      <xdr:col>28</xdr:col>
      <xdr:colOff>301305</xdr:colOff>
      <xdr:row>7</xdr:row>
      <xdr:rowOff>65766</xdr:rowOff>
    </xdr:to>
    <xdr:grpSp>
      <xdr:nvGrpSpPr>
        <xdr:cNvPr id="101" name="Group 100">
          <a:extLst>
            <a:ext uri="{FF2B5EF4-FFF2-40B4-BE49-F238E27FC236}">
              <a16:creationId xmlns:a16="http://schemas.microsoft.com/office/drawing/2014/main" id="{FB89DC53-0948-4B07-9CBF-810BAF987D65}"/>
            </a:ext>
          </a:extLst>
        </xdr:cNvPr>
        <xdr:cNvGrpSpPr/>
      </xdr:nvGrpSpPr>
      <xdr:grpSpPr>
        <a:xfrm>
          <a:off x="15335401" y="218407"/>
          <a:ext cx="2557218" cy="1142759"/>
          <a:chOff x="11513820" y="676656"/>
          <a:chExt cx="2350008" cy="1152144"/>
        </a:xfrm>
        <a:solidFill>
          <a:schemeClr val="bg2">
            <a:lumMod val="50000"/>
          </a:schemeClr>
        </a:solidFill>
        <a:effectLst>
          <a:outerShdw blurRad="50800" dist="38100" dir="2700000" algn="tl" rotWithShape="0">
            <a:prstClr val="black">
              <a:alpha val="40000"/>
            </a:prstClr>
          </a:outerShdw>
        </a:effectLst>
      </xdr:grpSpPr>
      <xdr:sp macro="" textlink="'KPI Calculations'!F3">
        <xdr:nvSpPr>
          <xdr:cNvPr id="102" name="Rectangle: Rounded Corners 101">
            <a:extLst>
              <a:ext uri="{FF2B5EF4-FFF2-40B4-BE49-F238E27FC236}">
                <a16:creationId xmlns:a16="http://schemas.microsoft.com/office/drawing/2014/main" id="{38CCC6DF-3464-419D-5E28-A419520924BA}"/>
              </a:ext>
            </a:extLst>
          </xdr:cNvPr>
          <xdr:cNvSpPr/>
        </xdr:nvSpPr>
        <xdr:spPr>
          <a:xfrm>
            <a:off x="11513820" y="676656"/>
            <a:ext cx="2350008" cy="115214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90CB522-E251-4029-A4F6-BAB81D725296}" type="TxLink">
              <a:rPr lang="en-US" sz="2400" b="1" i="0" u="none" strike="noStrike">
                <a:solidFill>
                  <a:schemeClr val="bg1"/>
                </a:solidFill>
                <a:effectLst>
                  <a:glow rad="101600">
                    <a:schemeClr val="accent3">
                      <a:satMod val="175000"/>
                      <a:alpha val="40000"/>
                    </a:schemeClr>
                  </a:glow>
                </a:effectLst>
                <a:latin typeface="Calibri"/>
                <a:cs typeface="Calibri"/>
              </a:rPr>
              <a:pPr algn="ctr"/>
              <a:t>14.27%</a:t>
            </a:fld>
            <a:endParaRPr lang="en-US" sz="4000" b="1" i="0">
              <a:solidFill>
                <a:schemeClr val="bg1"/>
              </a:solidFill>
              <a:effectLst>
                <a:glow rad="101600">
                  <a:schemeClr val="accent3">
                    <a:satMod val="175000"/>
                    <a:alpha val="40000"/>
                  </a:schemeClr>
                </a:glow>
              </a:effectLst>
            </a:endParaRPr>
          </a:p>
        </xdr:txBody>
      </xdr:sp>
      <xdr:sp macro="" textlink="">
        <xdr:nvSpPr>
          <xdr:cNvPr id="103" name="TextBox 102">
            <a:extLst>
              <a:ext uri="{FF2B5EF4-FFF2-40B4-BE49-F238E27FC236}">
                <a16:creationId xmlns:a16="http://schemas.microsoft.com/office/drawing/2014/main" id="{B9D40AC6-3550-81B2-1AEF-375A3610CDFC}"/>
              </a:ext>
            </a:extLst>
          </xdr:cNvPr>
          <xdr:cNvSpPr txBox="1"/>
        </xdr:nvSpPr>
        <xdr:spPr>
          <a:xfrm>
            <a:off x="12092246" y="798576"/>
            <a:ext cx="1340275" cy="38244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800" b="1" i="0">
                <a:solidFill>
                  <a:schemeClr val="bg1"/>
                </a:solidFill>
                <a:effectLst>
                  <a:glow rad="101600">
                    <a:schemeClr val="accent3">
                      <a:satMod val="175000"/>
                      <a:alpha val="40000"/>
                    </a:schemeClr>
                  </a:glow>
                </a:effectLst>
              </a:rPr>
              <a:t>Profit Margin</a:t>
            </a:r>
          </a:p>
        </xdr:txBody>
      </xdr:sp>
      <xdr:pic>
        <xdr:nvPicPr>
          <xdr:cNvPr id="104" name="Graphic 103" descr="Upward trend with solid fill">
            <a:extLst>
              <a:ext uri="{FF2B5EF4-FFF2-40B4-BE49-F238E27FC236}">
                <a16:creationId xmlns:a16="http://schemas.microsoft.com/office/drawing/2014/main" id="{828EB78E-4E4E-252E-C3A7-9EE41A8052B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513820" y="693420"/>
            <a:ext cx="609600" cy="609600"/>
          </a:xfrm>
          <a:prstGeom prst="rect">
            <a:avLst/>
          </a:prstGeom>
        </xdr:spPr>
      </xdr:pic>
    </xdr:grpSp>
    <xdr:clientData/>
  </xdr:twoCellAnchor>
  <xdr:twoCellAnchor>
    <xdr:from>
      <xdr:col>3</xdr:col>
      <xdr:colOff>289144</xdr:colOff>
      <xdr:row>8</xdr:row>
      <xdr:rowOff>12687</xdr:rowOff>
    </xdr:from>
    <xdr:to>
      <xdr:col>11</xdr:col>
      <xdr:colOff>188715</xdr:colOff>
      <xdr:row>23</xdr:row>
      <xdr:rowOff>10681</xdr:rowOff>
    </xdr:to>
    <xdr:graphicFrame macro="">
      <xdr:nvGraphicFramePr>
        <xdr:cNvPr id="2" name="Chart 9">
          <a:extLst>
            <a:ext uri="{FF2B5EF4-FFF2-40B4-BE49-F238E27FC236}">
              <a16:creationId xmlns:a16="http://schemas.microsoft.com/office/drawing/2014/main" id="{91AA3BD2-3875-C935-D74D-FCDA4509A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12784</xdr:colOff>
      <xdr:row>8</xdr:row>
      <xdr:rowOff>6772</xdr:rowOff>
    </xdr:from>
    <xdr:to>
      <xdr:col>28</xdr:col>
      <xdr:colOff>445018</xdr:colOff>
      <xdr:row>23</xdr:row>
      <xdr:rowOff>4768</xdr:rowOff>
    </xdr:to>
    <xdr:graphicFrame macro="">
      <xdr:nvGraphicFramePr>
        <xdr:cNvPr id="6" name="Chart 13">
          <a:extLst>
            <a:ext uri="{FF2B5EF4-FFF2-40B4-BE49-F238E27FC236}">
              <a16:creationId xmlns:a16="http://schemas.microsoft.com/office/drawing/2014/main" id="{C62D0529-881F-F592-5218-EBC78BDDD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8376</xdr:colOff>
      <xdr:row>23</xdr:row>
      <xdr:rowOff>1675</xdr:rowOff>
    </xdr:from>
    <xdr:to>
      <xdr:col>28</xdr:col>
      <xdr:colOff>438729</xdr:colOff>
      <xdr:row>37</xdr:row>
      <xdr:rowOff>175946</xdr:rowOff>
    </xdr:to>
    <xdr:graphicFrame macro="">
      <xdr:nvGraphicFramePr>
        <xdr:cNvPr id="5" name="Chart 12">
          <a:extLst>
            <a:ext uri="{FF2B5EF4-FFF2-40B4-BE49-F238E27FC236}">
              <a16:creationId xmlns:a16="http://schemas.microsoft.com/office/drawing/2014/main" id="{C622AF22-E348-DDA6-B8F2-FB749EF25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414419</xdr:colOff>
      <xdr:row>1</xdr:row>
      <xdr:rowOff>28949</xdr:rowOff>
    </xdr:from>
    <xdr:to>
      <xdr:col>9</xdr:col>
      <xdr:colOff>307472</xdr:colOff>
      <xdr:row>7</xdr:row>
      <xdr:rowOff>65766</xdr:rowOff>
    </xdr:to>
    <xdr:grpSp>
      <xdr:nvGrpSpPr>
        <xdr:cNvPr id="19" name="Group 18">
          <a:extLst>
            <a:ext uri="{FF2B5EF4-FFF2-40B4-BE49-F238E27FC236}">
              <a16:creationId xmlns:a16="http://schemas.microsoft.com/office/drawing/2014/main" id="{E772C560-3681-5693-59B8-D43FF8715D5A}"/>
            </a:ext>
          </a:extLst>
        </xdr:cNvPr>
        <xdr:cNvGrpSpPr/>
      </xdr:nvGrpSpPr>
      <xdr:grpSpPr>
        <a:xfrm>
          <a:off x="2243219" y="214006"/>
          <a:ext cx="4073167" cy="1147160"/>
          <a:chOff x="2539998" y="1863957"/>
          <a:chExt cx="4104106" cy="1159764"/>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42A093DB-F33A-9D1D-144C-A1BD1BE3C075}"/>
              </a:ext>
            </a:extLst>
          </xdr:cNvPr>
          <xdr:cNvSpPr/>
        </xdr:nvSpPr>
        <xdr:spPr>
          <a:xfrm>
            <a:off x="2539998" y="1863957"/>
            <a:ext cx="4104106" cy="1159764"/>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b="1" i="1" u="none" strike="noStrike">
                <a:effectLst>
                  <a:glow rad="101600">
                    <a:schemeClr val="accent3">
                      <a:satMod val="175000"/>
                      <a:alpha val="40000"/>
                    </a:schemeClr>
                  </a:glow>
                </a:effectLst>
                <a:latin typeface="Calibri"/>
                <a:cs typeface="Calibri"/>
              </a:rPr>
              <a:t> </a:t>
            </a:r>
          </a:p>
        </xdr:txBody>
      </xdr:sp>
      <xdr:sp macro="" textlink="">
        <xdr:nvSpPr>
          <xdr:cNvPr id="18" name="TextBox 17">
            <a:extLst>
              <a:ext uri="{FF2B5EF4-FFF2-40B4-BE49-F238E27FC236}">
                <a16:creationId xmlns:a16="http://schemas.microsoft.com/office/drawing/2014/main" id="{6E27722F-A2BA-BBE7-A6DB-A632F3E617A4}"/>
              </a:ext>
            </a:extLst>
          </xdr:cNvPr>
          <xdr:cNvSpPr txBox="1"/>
        </xdr:nvSpPr>
        <xdr:spPr>
          <a:xfrm>
            <a:off x="2646948" y="2098842"/>
            <a:ext cx="3876841" cy="708526"/>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500" b="1" i="1">
                <a:solidFill>
                  <a:schemeClr val="bg1"/>
                </a:solidFill>
                <a:effectLst>
                  <a:glow rad="101600">
                    <a:schemeClr val="accent3">
                      <a:satMod val="175000"/>
                      <a:alpha val="40000"/>
                    </a:schemeClr>
                  </a:glow>
                </a:effectLst>
              </a:rPr>
              <a:t>SALES DASHBOARD</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3.902078703701" backgroundQuery="1" createdVersion="8" refreshedVersion="8" minRefreshableVersion="3" recordCount="0" supportSubquery="1" supportAdvancedDrill="1" xr:uid="{CDFF6933-12A7-4B52-8E74-6399A4ABC8E8}">
  <cacheSource type="external" connectionId="2"/>
  <cacheFields count="6">
    <cacheField name="[sales_data].[Sale_Date (Month)].[Sale_Date (Month)]" caption="Sale_Date (Month)" numFmtId="0" hierarchy="18" level="1">
      <sharedItems count="12">
        <s v="Jan"/>
        <s v="Feb"/>
        <s v="Mar"/>
        <s v="Apr"/>
        <s v="May"/>
        <s v="Jun"/>
        <s v="Jul"/>
        <s v="Aug"/>
        <s v="Sep"/>
        <s v="Oct"/>
        <s v="Nov"/>
        <s v="Dec"/>
      </sharedItems>
    </cacheField>
    <cacheField name="[sales_data].[Sale_Date (Year)].[Sale_Date (Year)]" caption="Sale_Date (Year)" numFmtId="0" hierarchy="16" level="1">
      <sharedItems count="2">
        <s v="2023"/>
        <s v="2024"/>
      </sharedItems>
    </cacheField>
    <cacheField name="[Measures].[Sum of Total Sales]" caption="Sum of Total Sales" numFmtId="0" hierarchy="22" level="32767"/>
    <cacheField name="[Measures].[Sum of Total Profit]" caption="Sum of Total Profit" numFmtId="0" hierarchy="23" level="32767"/>
    <cacheField name="[sales_data].[Sale_Date].[Sale_Date]" caption="Sale_Date" numFmtId="0" hierarchy="1" level="1">
      <sharedItems containsSemiMixedTypes="0" containsNonDate="0" containsString="0"/>
    </cacheField>
    <cacheField name="[Measures].[Count of Quantity_Sold]" caption="Count of Quantity_Sold" numFmtId="0" hierarchy="34" level="32767"/>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fieldsUsage count="2">
        <fieldUsage x="-1"/>
        <fieldUsage x="4"/>
      </fieldsUsage>
    </cacheHierarchy>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Total Profit]" caption="Total Profit" attribute="1" defaultMemberUniqueName="[sales_data].[Total Profit].[All]" allUniqueName="[sales_data].[Total Profi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fieldsUsage count="2">
        <fieldUsage x="-1"/>
        <fieldUsage x="1"/>
      </fieldsUsage>
    </cacheHierarchy>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0"/>
      </fieldsUsage>
    </cacheHierarchy>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Sales]" caption="Sum of Total Sales" measure="1" displayFolder="" measureGroup="sales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sales_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sales_data" count="0" hidden="1">
      <extLst>
        <ext xmlns:x15="http://schemas.microsoft.com/office/spreadsheetml/2010/11/main" uri="{B97F6D7D-B522-45F9-BDA1-12C45D357490}">
          <x15:cacheHierarchy aggregatedColumn="4"/>
        </ext>
      </extLst>
    </cacheHierarchy>
    <cacheHierarchy uniqueName="[Measures].[Count of Sales_Channel]" caption="Count of Sales_Channel" measure="1" displayFolder="" measureGroup="sales_data" count="0" hidden="1">
      <extLst>
        <ext xmlns:x15="http://schemas.microsoft.com/office/spreadsheetml/2010/11/main" uri="{B97F6D7D-B522-45F9-BDA1-12C45D357490}">
          <x15:cacheHierarchy aggregatedColumn="7"/>
        </ext>
      </extLst>
    </cacheHierarchy>
    <cacheHierarchy uniqueName="[Measures].[Sum of Unit_Cost]" caption="Sum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Unit_Cost]" caption="Count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_Type]" caption="Count of Customer_Type" measure="1" displayFolder="" measureGroup="sales_data"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rofit Margin]" caption="Count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ayment_Method]" caption="Count of Payment_Method" measure="1" displayFolder="" measureGroup="sales_data" count="0" hidden="1">
      <extLst>
        <ext xmlns:x15="http://schemas.microsoft.com/office/spreadsheetml/2010/11/main" uri="{B97F6D7D-B522-45F9-BDA1-12C45D357490}">
          <x15:cacheHierarchy aggregatedColumn="6"/>
        </ext>
      </extLst>
    </cacheHierarchy>
    <cacheHierarchy uniqueName="[Measures].[Count of Quantity_Sold]" caption="Count of Quantity_Sold" measure="1" displayFolder="" measureGroup="sales_data" count="0" oneField="1" hidden="1">
      <fieldsUsage count="1">
        <fieldUsage x="5"/>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3.902079976855" backgroundQuery="1" createdVersion="8" refreshedVersion="8" minRefreshableVersion="3" recordCount="0" supportSubquery="1" supportAdvancedDrill="1" xr:uid="{90C1A9F9-453F-4FC6-8005-1755B734CC63}">
  <cacheSource type="external" connectionId="2"/>
  <cacheFields count="5">
    <cacheField name="[sales_data].[Product_Category].[Product_Category]" caption="Product_Category" numFmtId="0" hierarchy="4" level="1">
      <sharedItems count="4">
        <s v="Clothing"/>
        <s v="Electronics"/>
        <s v="Food"/>
        <s v="Furniture"/>
      </sharedItems>
    </cacheField>
    <cacheField name="[sales_data].[Region].[Region]" caption="Region" numFmtId="0" hierarchy="3" level="1">
      <sharedItems count="4">
        <s v="East"/>
        <s v="North"/>
        <s v="South"/>
        <s v="West"/>
      </sharedItems>
    </cacheField>
    <cacheField name="[sales_data].[Sales_Channel].[Sales_Channel]" caption="Sales_Channel" numFmtId="0" hierarchy="7" level="1">
      <sharedItems count="2">
        <s v="Online"/>
        <s v="Retail"/>
      </sharedItems>
    </cacheField>
    <cacheField name="[Measures].[Sum of Quantity_Sold]" caption="Sum of Quantity_Sold" numFmtId="0" hierarchy="24" level="32767"/>
    <cacheField name="[sales_data].[Sale_Date].[Sale_Date]" caption="Sale_Date" numFmtId="0" hierarchy="1" level="1">
      <sharedItems containsSemiMixedTypes="0" containsNonDate="0" containsString="0"/>
    </cacheField>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fieldsUsage count="2">
        <fieldUsage x="-1"/>
        <fieldUsage x="4"/>
      </fieldsUsage>
    </cacheHierarchy>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Product_Category]" caption="Product_Category" attribute="1" defaultMemberUniqueName="[sales_data].[Product_Category].[All]" allUniqueName="[sales_data].[Product_Category].[All]" dimensionUniqueName="[sales_data]" displayFolder="" count="2" memberValueDatatype="130" unbalanced="0">
      <fieldsUsage count="2">
        <fieldUsage x="-1"/>
        <fieldUsage x="0"/>
      </fieldsUsage>
    </cacheHierarchy>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fieldsUsage count="2">
        <fieldUsage x="-1"/>
        <fieldUsage x="2"/>
      </fieldsUsage>
    </cacheHierarchy>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Total Profit]" caption="Total Profit" attribute="1" defaultMemberUniqueName="[sales_data].[Total Profit].[All]" allUniqueName="[sales_data].[Total Profi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Sales]" caption="Sum of Total Sales" measure="1" displayFolder="" measureGroup="sales_data"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_Sold]" caption="Sum of Quantity_Sold" measure="1" displayFolder="" measureGroup="sales_data"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sales_data" count="0" hidden="1">
      <extLst>
        <ext xmlns:x15="http://schemas.microsoft.com/office/spreadsheetml/2010/11/main" uri="{B97F6D7D-B522-45F9-BDA1-12C45D357490}">
          <x15:cacheHierarchy aggregatedColumn="4"/>
        </ext>
      </extLst>
    </cacheHierarchy>
    <cacheHierarchy uniqueName="[Measures].[Count of Sales_Channel]" caption="Count of Sales_Channel" measure="1" displayFolder="" measureGroup="sales_data" count="0" hidden="1">
      <extLst>
        <ext xmlns:x15="http://schemas.microsoft.com/office/spreadsheetml/2010/11/main" uri="{B97F6D7D-B522-45F9-BDA1-12C45D357490}">
          <x15:cacheHierarchy aggregatedColumn="7"/>
        </ext>
      </extLst>
    </cacheHierarchy>
    <cacheHierarchy uniqueName="[Measures].[Sum of Unit_Cost]" caption="Sum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Unit_Cost]" caption="Count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_Type]" caption="Count of Customer_Type" measure="1" displayFolder="" measureGroup="sales_data"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rofit Margin]" caption="Count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ayment_Method]" caption="Count of Payment_Method" measure="1" displayFolder="" measureGroup="sales_data" count="0" hidden="1">
      <extLst>
        <ext xmlns:x15="http://schemas.microsoft.com/office/spreadsheetml/2010/11/main" uri="{B97F6D7D-B522-45F9-BDA1-12C45D357490}">
          <x15:cacheHierarchy aggregatedColumn="6"/>
        </ext>
      </extLst>
    </cacheHierarchy>
    <cacheHierarchy uniqueName="[Measures].[Count of Quantity_Sold]" caption="Count of Quantity_Sold" measure="1" displayFolder="" measureGroup="sales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3.902080902779" backgroundQuery="1" createdVersion="8" refreshedVersion="8" minRefreshableVersion="3" recordCount="0" supportSubquery="1" supportAdvancedDrill="1" xr:uid="{90C4D36C-FC5B-49DA-8E09-830DC28B7AC3}">
  <cacheSource type="external" connectionId="2"/>
  <cacheFields count="5">
    <cacheField name="[sales_data].[Sale_Date (Month)].[Sale_Date (Month)]" caption="Sale_Date (Month)" numFmtId="0" hierarchy="18" level="1">
      <sharedItems count="12">
        <s v="Jan"/>
        <s v="Feb"/>
        <s v="Mar"/>
        <s v="Apr"/>
        <s v="May"/>
        <s v="Jun"/>
        <s v="Jul"/>
        <s v="Aug"/>
        <s v="Sep"/>
        <s v="Oct"/>
        <s v="Nov"/>
        <s v="Dec"/>
      </sharedItems>
    </cacheField>
    <cacheField name="[sales_data].[Sales_Channel].[Sales_Channel]" caption="Sales_Channel" numFmtId="0" hierarchy="7" level="1">
      <sharedItems count="2">
        <s v="Online"/>
        <s v="Retail"/>
      </sharedItems>
    </cacheField>
    <cacheField name="[Measures].[Sum of Total Sales]" caption="Sum of Total Sales" numFmtId="0" hierarchy="22" level="32767"/>
    <cacheField name="[sales_data].[Sale_Date (Year)].[Sale_Date (Year)]" caption="Sale_Date (Year)" numFmtId="0" hierarchy="16" level="1">
      <sharedItems count="2">
        <s v="2023"/>
        <s v="2024"/>
      </sharedItems>
    </cacheField>
    <cacheField name="[sales_data].[Sale_Date].[Sale_Date]" caption="Sale_Date" numFmtId="0" hierarchy="1" level="1">
      <sharedItems containsSemiMixedTypes="0" containsNonDate="0" containsString="0"/>
    </cacheField>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fieldsUsage count="2">
        <fieldUsage x="-1"/>
        <fieldUsage x="4"/>
      </fieldsUsage>
    </cacheHierarchy>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fieldsUsage count="2">
        <fieldUsage x="-1"/>
        <fieldUsage x="1"/>
      </fieldsUsage>
    </cacheHierarchy>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Total Profit]" caption="Total Profit" attribute="1" defaultMemberUniqueName="[sales_data].[Total Profit].[All]" allUniqueName="[sales_data].[Total Profi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2" memberValueDatatype="130" unbalanced="0">
      <fieldsUsage count="2">
        <fieldUsage x="-1"/>
        <fieldUsage x="3"/>
      </fieldsUsage>
    </cacheHierarchy>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2" memberValueDatatype="130" unbalanced="0">
      <fieldsUsage count="2">
        <fieldUsage x="-1"/>
        <fieldUsage x="0"/>
      </fieldsUsage>
    </cacheHierarchy>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Sales]" caption="Sum of Total Sales" measure="1" displayFolder="" measureGroup="sales_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sales_data" count="0" hidden="1">
      <extLst>
        <ext xmlns:x15="http://schemas.microsoft.com/office/spreadsheetml/2010/11/main" uri="{B97F6D7D-B522-45F9-BDA1-12C45D357490}">
          <x15:cacheHierarchy aggregatedColumn="4"/>
        </ext>
      </extLst>
    </cacheHierarchy>
    <cacheHierarchy uniqueName="[Measures].[Count of Sales_Channel]" caption="Count of Sales_Channel" measure="1" displayFolder="" measureGroup="sales_data" count="0" hidden="1">
      <extLst>
        <ext xmlns:x15="http://schemas.microsoft.com/office/spreadsheetml/2010/11/main" uri="{B97F6D7D-B522-45F9-BDA1-12C45D357490}">
          <x15:cacheHierarchy aggregatedColumn="7"/>
        </ext>
      </extLst>
    </cacheHierarchy>
    <cacheHierarchy uniqueName="[Measures].[Sum of Unit_Cost]" caption="Sum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Unit_Cost]" caption="Count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_Type]" caption="Count of Customer_Type" measure="1" displayFolder="" measureGroup="sales_data"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rofit Margin]" caption="Count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ayment_Method]" caption="Count of Payment_Method" measure="1" displayFolder="" measureGroup="sales_data" count="0" hidden="1">
      <extLst>
        <ext xmlns:x15="http://schemas.microsoft.com/office/spreadsheetml/2010/11/main" uri="{B97F6D7D-B522-45F9-BDA1-12C45D357490}">
          <x15:cacheHierarchy aggregatedColumn="6"/>
        </ext>
      </extLst>
    </cacheHierarchy>
    <cacheHierarchy uniqueName="[Measures].[Count of Quantity_Sold]" caption="Count of Quantity_Sold" measure="1" displayFolder="" measureGroup="sales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3.902081828703" backgroundQuery="1" createdVersion="8" refreshedVersion="8" minRefreshableVersion="3" recordCount="0" supportSubquery="1" supportAdvancedDrill="1" xr:uid="{4EE631D8-6948-4F77-B566-E2BCE3788179}">
  <cacheSource type="external" connectionId="2"/>
  <cacheFields count="5">
    <cacheField name="[sales_data].[Customer_Type].[Customer_Type]" caption="Customer_Type" numFmtId="0" hierarchy="5" level="1">
      <sharedItems count="2">
        <s v="New"/>
        <s v="Returning"/>
      </sharedItems>
    </cacheField>
    <cacheField name="[sales_data].[Payment_Method].[Payment_Method]" caption="Payment_Method" numFmtId="0" hierarchy="6" level="1">
      <sharedItems count="3">
        <s v="Bank Transfer"/>
        <s v="Cash"/>
        <s v="Credit Card"/>
      </sharedItems>
    </cacheField>
    <cacheField name="[sales_data].[Region].[Region]" caption="Region" numFmtId="0" hierarchy="3" level="1">
      <sharedItems count="4">
        <s v="East"/>
        <s v="North"/>
        <s v="South"/>
        <s v="West"/>
      </sharedItems>
    </cacheField>
    <cacheField name="[Measures].[Count of Payment_Method]" caption="Count of Payment_Method" numFmtId="0" hierarchy="33" level="32767"/>
    <cacheField name="[sales_data].[Sale_Date].[Sale_Date]" caption="Sale_Date" numFmtId="0" hierarchy="1" level="1">
      <sharedItems containsSemiMixedTypes="0" containsNonDate="0" containsString="0"/>
    </cacheField>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fieldsUsage count="2">
        <fieldUsage x="-1"/>
        <fieldUsage x="4"/>
      </fieldsUsage>
    </cacheHierarchy>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Customer_Type]" caption="Customer_Type" attribute="1" defaultMemberUniqueName="[sales_data].[Customer_Type].[All]" allUniqueName="[sales_data].[Customer_Type].[All]" dimensionUniqueName="[sales_data]" displayFolder="" count="2" memberValueDatatype="130" unbalanced="0">
      <fieldsUsage count="2">
        <fieldUsage x="-1"/>
        <fieldUsage x="0"/>
      </fieldsUsage>
    </cacheHierarchy>
    <cacheHierarchy uniqueName="[sales_data].[Payment_Method]" caption="Payment_Method" attribute="1" defaultMemberUniqueName="[sales_data].[Payment_Method].[All]" allUniqueName="[sales_data].[Payment_Method].[All]" dimensionUniqueName="[sales_data]" displayFolder="" count="2" memberValueDatatype="130" unbalanced="0">
      <fieldsUsage count="2">
        <fieldUsage x="-1"/>
        <fieldUsage x="1"/>
      </fieldsUsage>
    </cacheHierarchy>
    <cacheHierarchy uniqueName="[sales_data].[Sales_Channel]" caption="Sales_Channel" attribute="1" defaultMemberUniqueName="[sales_data].[Sales_Channel].[All]" allUniqueName="[sales_data].[Sales_Channel].[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Total Profit]" caption="Total Profit" attribute="1" defaultMemberUniqueName="[sales_data].[Total Profit].[All]" allUniqueName="[sales_data].[Total Profi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Sales]" caption="Sum of Total Sales" measure="1" displayFolder="" measureGroup="sales_data"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sales_data" count="0" hidden="1">
      <extLst>
        <ext xmlns:x15="http://schemas.microsoft.com/office/spreadsheetml/2010/11/main" uri="{B97F6D7D-B522-45F9-BDA1-12C45D357490}">
          <x15:cacheHierarchy aggregatedColumn="4"/>
        </ext>
      </extLst>
    </cacheHierarchy>
    <cacheHierarchy uniqueName="[Measures].[Count of Sales_Channel]" caption="Count of Sales_Channel" measure="1" displayFolder="" measureGroup="sales_data" count="0" hidden="1">
      <extLst>
        <ext xmlns:x15="http://schemas.microsoft.com/office/spreadsheetml/2010/11/main" uri="{B97F6D7D-B522-45F9-BDA1-12C45D357490}">
          <x15:cacheHierarchy aggregatedColumn="7"/>
        </ext>
      </extLst>
    </cacheHierarchy>
    <cacheHierarchy uniqueName="[Measures].[Sum of Unit_Cost]" caption="Sum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Unit_Cost]" caption="Count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_Type]" caption="Count of Customer_Type" measure="1" displayFolder="" measureGroup="sales_data"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rofit Margin]" caption="Count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ayment_Method]" caption="Count of Payment_Method" measure="1" displayFolder="" measureGroup="sales_data"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Quantity_Sold]" caption="Count of Quantity_Sold" measure="1" displayFolder="" measureGroup="sales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3.902082523149" backgroundQuery="1" createdVersion="8" refreshedVersion="8" minRefreshableVersion="3" recordCount="0" supportSubquery="1" supportAdvancedDrill="1" xr:uid="{91CCB484-E91E-4ACF-99EE-60E23A237E85}">
  <cacheSource type="external" connectionId="2"/>
  <cacheFields count="4">
    <cacheField name="[sales_data].[Sales_Rep].[Sales_Rep]" caption="Sales_Rep" numFmtId="0" hierarchy="2" level="1">
      <sharedItems count="5">
        <s v="Alice"/>
        <s v="Bob"/>
        <s v="Charlie"/>
        <s v="David"/>
        <s v="Eve"/>
      </sharedItems>
    </cacheField>
    <cacheField name="[Measures].[Sum of Total Profit]" caption="Sum of Total Profit" numFmtId="0" hierarchy="23" level="32767"/>
    <cacheField name="[sales_data].[Region].[Region]" caption="Region" numFmtId="0" hierarchy="3" level="1">
      <sharedItems count="4">
        <s v="East"/>
        <s v="North"/>
        <s v="South"/>
        <s v="West"/>
      </sharedItems>
    </cacheField>
    <cacheField name="[sales_data].[Sale_Date].[Sale_Date]" caption="Sale_Date" numFmtId="0" hierarchy="1" level="1">
      <sharedItems containsSemiMixedTypes="0" containsNonDate="0" containsString="0"/>
    </cacheField>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fieldsUsage count="2">
        <fieldUsage x="-1"/>
        <fieldUsage x="3"/>
      </fieldsUsage>
    </cacheHierarchy>
    <cacheHierarchy uniqueName="[sales_data].[Sales_Rep]" caption="Sales_Rep" attribute="1" defaultMemberUniqueName="[sales_data].[Sales_Rep].[All]" allUniqueName="[sales_data].[Sales_Rep].[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Total Profit]" caption="Total Profit" attribute="1" defaultMemberUniqueName="[sales_data].[Total Profit].[All]" allUniqueName="[sales_data].[Total Profi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Sales]" caption="Sum of Total Sales" measure="1" displayFolder="" measureGroup="sales_data"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sales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sales_data" count="0" hidden="1">
      <extLst>
        <ext xmlns:x15="http://schemas.microsoft.com/office/spreadsheetml/2010/11/main" uri="{B97F6D7D-B522-45F9-BDA1-12C45D357490}">
          <x15:cacheHierarchy aggregatedColumn="4"/>
        </ext>
      </extLst>
    </cacheHierarchy>
    <cacheHierarchy uniqueName="[Measures].[Count of Sales_Channel]" caption="Count of Sales_Channel" measure="1" displayFolder="" measureGroup="sales_data" count="0" hidden="1">
      <extLst>
        <ext xmlns:x15="http://schemas.microsoft.com/office/spreadsheetml/2010/11/main" uri="{B97F6D7D-B522-45F9-BDA1-12C45D357490}">
          <x15:cacheHierarchy aggregatedColumn="7"/>
        </ext>
      </extLst>
    </cacheHierarchy>
    <cacheHierarchy uniqueName="[Measures].[Sum of Unit_Cost]" caption="Sum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Unit_Cost]" caption="Count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_Type]" caption="Count of Customer_Type" measure="1" displayFolder="" measureGroup="sales_data"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rofit Margin]" caption="Count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ayment_Method]" caption="Count of Payment_Method" measure="1" displayFolder="" measureGroup="sales_data" count="0" hidden="1">
      <extLst>
        <ext xmlns:x15="http://schemas.microsoft.com/office/spreadsheetml/2010/11/main" uri="{B97F6D7D-B522-45F9-BDA1-12C45D357490}">
          <x15:cacheHierarchy aggregatedColumn="6"/>
        </ext>
      </extLst>
    </cacheHierarchy>
    <cacheHierarchy uniqueName="[Measures].[Count of Quantity_Sold]" caption="Count of Quantity_Sold" measure="1" displayFolder="" measureGroup="sales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53.902083217596" backgroundQuery="1" createdVersion="8" refreshedVersion="8" minRefreshableVersion="3" recordCount="0" supportSubquery="1" supportAdvancedDrill="1" xr:uid="{AE4388FF-306B-449E-82C4-2D474A0C7428}">
  <cacheSource type="external" connectionId="2"/>
  <cacheFields count="5">
    <cacheField name="[Measures].[Sum of Quantity_Sold]" caption="Sum of Quantity_Sold" numFmtId="0" hierarchy="24" level="32767"/>
    <cacheField name="[Measures].[Sum of Total Sales]" caption="Sum of Total Sales" numFmtId="0" hierarchy="22" level="32767"/>
    <cacheField name="[Measures].[Sum of Total Profit]" caption="Sum of Total Profit" numFmtId="0" hierarchy="23" level="32767"/>
    <cacheField name="[Measures].[Average of Profit Margin]" caption="Average of Profit Margin" numFmtId="0" hierarchy="31" level="32767"/>
    <cacheField name="[sales_data].[Sale_Date].[Sale_Date]" caption="Sale_Date" numFmtId="0" hierarchy="1" level="1">
      <sharedItems containsSemiMixedTypes="0" containsNonDate="0" containsString="0"/>
    </cacheField>
  </cacheFields>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fieldsUsage count="2">
        <fieldUsage x="-1"/>
        <fieldUsage x="4"/>
      </fieldsUsage>
    </cacheHierarchy>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Total Profit]" caption="Total Profit" attribute="1" defaultMemberUniqueName="[sales_data].[Total Profit].[All]" allUniqueName="[sales_data].[Total Profi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Sales]" caption="Sum of Total Sales" measure="1" displayFolder="" measureGroup="sales_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sales_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Quantity_Sold]" caption="Sum of Quantity_Sold" measure="1" displayFolder="" measureGroup="sales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sales_data" count="0" hidden="1">
      <extLst>
        <ext xmlns:x15="http://schemas.microsoft.com/office/spreadsheetml/2010/11/main" uri="{B97F6D7D-B522-45F9-BDA1-12C45D357490}">
          <x15:cacheHierarchy aggregatedColumn="4"/>
        </ext>
      </extLst>
    </cacheHierarchy>
    <cacheHierarchy uniqueName="[Measures].[Count of Sales_Channel]" caption="Count of Sales_Channel" measure="1" displayFolder="" measureGroup="sales_data" count="0" hidden="1">
      <extLst>
        <ext xmlns:x15="http://schemas.microsoft.com/office/spreadsheetml/2010/11/main" uri="{B97F6D7D-B522-45F9-BDA1-12C45D357490}">
          <x15:cacheHierarchy aggregatedColumn="7"/>
        </ext>
      </extLst>
    </cacheHierarchy>
    <cacheHierarchy uniqueName="[Measures].[Sum of Unit_Cost]" caption="Sum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Unit_Cost]" caption="Count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_Type]" caption="Count of Customer_Type" measure="1" displayFolder="" measureGroup="sales_data"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sales_data" count="0" oneField="1" hidden="1">
      <fieldsUsage count="1">
        <fieldUsage x="3"/>
      </fieldsUsage>
      <extLst>
        <ext xmlns:x15="http://schemas.microsoft.com/office/spreadsheetml/2010/11/main" uri="{B97F6D7D-B522-45F9-BDA1-12C45D357490}">
          <x15:cacheHierarchy aggregatedColumn="15"/>
        </ext>
      </extLst>
    </cacheHierarchy>
    <cacheHierarchy uniqueName="[Measures].[Count of Profit Margin]" caption="Count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ayment_Method]" caption="Count of Payment_Method" measure="1" displayFolder="" measureGroup="sales_data" count="0" hidden="1">
      <extLst>
        <ext xmlns:x15="http://schemas.microsoft.com/office/spreadsheetml/2010/11/main" uri="{B97F6D7D-B522-45F9-BDA1-12C45D357490}">
          <x15:cacheHierarchy aggregatedColumn="6"/>
        </ext>
      </extLst>
    </cacheHierarchy>
    <cacheHierarchy uniqueName="[Measures].[Count of Quantity_Sold]" caption="Count of Quantity_Sold" measure="1" displayFolder="" measureGroup="sales_data"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6.955538425929" backgroundQuery="1" createdVersion="3" refreshedVersion="8" minRefreshableVersion="3" recordCount="0" supportSubquery="1" supportAdvancedDrill="1" xr:uid="{50FE4345-590C-42A3-A9F2-477245895121}">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0" memberValueDatatype="7" unbalanced="0"/>
    <cacheHierarchy uniqueName="[sales_data].[Sales_Rep]" caption="Sales_Rep" attribute="1" defaultMemberUniqueName="[sales_data].[Sales_Rep].[All]" allUniqueName="[sales_data].[Sales_Rep].[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cacheHierarchy uniqueName="[sales_data].[Product_Category]" caption="Product_Category" attribute="1" defaultMemberUniqueName="[sales_data].[Product_Category].[All]" allUniqueName="[sales_data].[Product_Category].[All]" dimensionUniqueName="[sales_data]" displayFolder="" count="2" memberValueDatatype="130" unbalanced="0"/>
    <cacheHierarchy uniqueName="[sales_data].[Customer_Type]" caption="Customer_Type" attribute="1" defaultMemberUniqueName="[sales_data].[Customer_Type].[All]" allUniqueName="[sales_data].[Customer_Type].[All]" dimensionUniqueName="[sales_data]" displayFolder="" count="2" memberValueDatatype="130" unbalanced="0"/>
    <cacheHierarchy uniqueName="[sales_data].[Payment_Method]" caption="Payment_Method" attribute="1" defaultMemberUniqueName="[sales_data].[Payment_Method].[All]" allUniqueName="[sales_data].[Payment_Method].[All]" dimensionUniqueName="[sales_data]" displayFolder="" count="2" memberValueDatatype="130" unbalanced="0"/>
    <cacheHierarchy uniqueName="[sales_data].[Sales_Channel]" caption="Sales_Channel" attribute="1" defaultMemberUniqueName="[sales_data].[Sales_Channel].[All]" allUniqueName="[sales_data].[Sales_Channel].[All]" dimensionUniqueName="[sales_data]" displayFolder="" count="2"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Total Profit]" caption="Total Profit" attribute="1" defaultMemberUniqueName="[sales_data].[Total Profit].[All]" allUniqueName="[sales_data].[Total Profi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Sales]" caption="Sum of Total Sales" measure="1" displayFolder="" measureGroup="sales_data"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sales_data" count="0" hidden="1">
      <extLst>
        <ext xmlns:x15="http://schemas.microsoft.com/office/spreadsheetml/2010/11/main" uri="{B97F6D7D-B522-45F9-BDA1-12C45D357490}">
          <x15:cacheHierarchy aggregatedColumn="4"/>
        </ext>
      </extLst>
    </cacheHierarchy>
    <cacheHierarchy uniqueName="[Measures].[Count of Sales_Channel]" caption="Count of Sales_Channel" measure="1" displayFolder="" measureGroup="sales_data" count="0" hidden="1">
      <extLst>
        <ext xmlns:x15="http://schemas.microsoft.com/office/spreadsheetml/2010/11/main" uri="{B97F6D7D-B522-45F9-BDA1-12C45D357490}">
          <x15:cacheHierarchy aggregatedColumn="7"/>
        </ext>
      </extLst>
    </cacheHierarchy>
    <cacheHierarchy uniqueName="[Measures].[Sum of Unit_Cost]" caption="Sum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Unit_Cost]" caption="Count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_Type]" caption="Count of Customer_Type" measure="1" displayFolder="" measureGroup="sales_data"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rofit Margin]" caption="Count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ayment_Method]" caption="Count of Payment_Method" measure="1" displayFolder="" measureGroup="sales_data" count="0" hidden="1">
      <extLst>
        <ext xmlns:x15="http://schemas.microsoft.com/office/spreadsheetml/2010/11/main" uri="{B97F6D7D-B522-45F9-BDA1-12C45D357490}">
          <x15:cacheHierarchy aggregatedColumn="6"/>
        </ext>
      </extLst>
    </cacheHierarchy>
    <cacheHierarchy uniqueName="[Measures].[Count of Quantity_Sold]" caption="Count of Quantity_Sold" measure="1" displayFolder="" measureGroup="sales_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499358191"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istrator" refreshedDate="46046.955539467592" backgroundQuery="1" createdVersion="3" refreshedVersion="8" minRefreshableVersion="3" recordCount="0" supportSubquery="1" supportAdvancedDrill="1" xr:uid="{7F56924B-FBD2-40E8-92E4-79214643B6DC}">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sales_data].[Product_ID]" caption="Product_ID" attribute="1" defaultMemberUniqueName="[sales_data].[Product_ID].[All]" allUniqueName="[sales_data].[Product_ID].[All]" dimensionUniqueName="[sales_data]" displayFolder="" count="0" memberValueDatatype="20" unbalanced="0"/>
    <cacheHierarchy uniqueName="[sales_data].[Sale_Date]" caption="Sale_Date" attribute="1" time="1" defaultMemberUniqueName="[sales_data].[Sale_Date].[All]" allUniqueName="[sales_data].[Sale_Date].[All]" dimensionUniqueName="[sales_data]" displayFolder="" count="2" memberValueDatatype="7" unbalanced="0"/>
    <cacheHierarchy uniqueName="[sales_data].[Sales_Rep]" caption="Sales_Rep" attribute="1" defaultMemberUniqueName="[sales_data].[Sales_Rep].[All]" allUniqueName="[sales_data].[Sales_Rep].[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_Category]" caption="Product_Category" attribute="1" defaultMemberUniqueName="[sales_data].[Product_Category].[All]" allUniqueName="[sales_data].[Product_Category].[All]" dimensionUniqueName="[sales_data]" displayFolder="" count="0" memberValueDatatype="130" unbalanced="0"/>
    <cacheHierarchy uniqueName="[sales_data].[Customer_Type]" caption="Customer_Type" attribute="1" defaultMemberUniqueName="[sales_data].[Customer_Type].[All]" allUniqueName="[sales_data].[Customer_Type].[All]" dimensionUniqueName="[sales_data]" displayFolder="" count="0" memberValueDatatype="130" unbalanced="0"/>
    <cacheHierarchy uniqueName="[sales_data].[Payment_Method]" caption="Payment_Method" attribute="1" defaultMemberUniqueName="[sales_data].[Payment_Method].[All]" allUniqueName="[sales_data].[Payment_Method].[All]" dimensionUniqueName="[sales_data]" displayFolder="" count="0" memberValueDatatype="130" unbalanced="0"/>
    <cacheHierarchy uniqueName="[sales_data].[Sales_Channel]" caption="Sales_Channel" attribute="1" defaultMemberUniqueName="[sales_data].[Sales_Channel].[All]" allUniqueName="[sales_data].[Sales_Channel].[All]" dimensionUniqueName="[sales_data]" displayFolder="" count="0" memberValueDatatype="130" unbalanced="0"/>
    <cacheHierarchy uniqueName="[sales_data].[Unit_Cost]" caption="Unit_Cost" attribute="1" defaultMemberUniqueName="[sales_data].[Unit_Cost].[All]" allUniqueName="[sales_data].[Unit_Cost].[All]" dimensionUniqueName="[sales_data]" displayFolder="" count="0" memberValueDatatype="5" unbalanced="0"/>
    <cacheHierarchy uniqueName="[sales_data].[Unit_Price]" caption="Unit_Price" attribute="1" defaultMemberUniqueName="[sales_data].[Unit_Price].[All]" allUniqueName="[sales_data].[Unit_Price].[All]" dimensionUniqueName="[sales_data]" displayFolder="" count="0" memberValueDatatype="5" unbalanced="0"/>
    <cacheHierarchy uniqueName="[sales_data].[Quantity_Sold]" caption="Quantity_Sold" attribute="1" defaultMemberUniqueName="[sales_data].[Quantity_Sold].[All]" allUniqueName="[sales_data].[Quantity_Sold].[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Total Cost]" caption="Total Cost" attribute="1" defaultMemberUniqueName="[sales_data].[Total Cost].[All]" allUniqueName="[sales_data].[Total Cost].[All]" dimensionUniqueName="[sales_data]" displayFolder="" count="0" memberValueDatatype="5" unbalanced="0"/>
    <cacheHierarchy uniqueName="[sales_data].[Total Sales]" caption="Total Sales" attribute="1" defaultMemberUniqueName="[sales_data].[Total Sales].[All]" allUniqueName="[sales_data].[Total Sales].[All]" dimensionUniqueName="[sales_data]" displayFolder="" count="0" memberValueDatatype="5" unbalanced="0"/>
    <cacheHierarchy uniqueName="[sales_data].[Total Profit]" caption="Total Profit" attribute="1" defaultMemberUniqueName="[sales_data].[Total Profit].[All]" allUniqueName="[sales_data].[Total Profit].[All]" dimensionUniqueName="[sales_data]" displayFolder="" count="0" memberValueDatatype="5" unbalanced="0"/>
    <cacheHierarchy uniqueName="[sales_data].[Profit Margin]" caption="Profit Margin" attribute="1" defaultMemberUniqueName="[sales_data].[Profit Margin].[All]" allUniqueName="[sales_data].[Profit Margin].[All]" dimensionUniqueName="[sales_data]" displayFolder="" count="0" memberValueDatatype="5" unbalanced="0"/>
    <cacheHierarchy uniqueName="[sales_data].[Sale_Date (Year)]" caption="Sale_Date (Year)" attribute="1" defaultMemberUniqueName="[sales_data].[Sale_Date (Year)].[All]" allUniqueName="[sales_data].[Sale_Date (Year)].[All]" dimensionUniqueName="[sales_data]" displayFolder="" count="0" memberValueDatatype="130" unbalanced="0"/>
    <cacheHierarchy uniqueName="[sales_data].[Sale_Date (Quarter)]" caption="Sale_Date (Quarter)" attribute="1" defaultMemberUniqueName="[sales_data].[Sale_Date (Quarter)].[All]" allUniqueName="[sales_data].[Sale_Date (Quarter)].[All]" dimensionUniqueName="[sales_data]" displayFolder="" count="0" memberValueDatatype="130" unbalanced="0"/>
    <cacheHierarchy uniqueName="[sales_data].[Sale_Date (Month)]" caption="Sale_Date (Month)" attribute="1" defaultMemberUniqueName="[sales_data].[Sale_Date (Month)].[All]" allUniqueName="[sales_data].[Sale_Date (Month)].[All]" dimensionUniqueName="[sales_data]" displayFolder="" count="0" memberValueDatatype="130" unbalanced="0"/>
    <cacheHierarchy uniqueName="[sales_data].[Sale_Date (Month Index)]" caption="Sale_Date (Month Index)" attribute="1" defaultMemberUniqueName="[sales_data].[Sale_Date (Month Index)].[All]" allUniqueName="[sales_data].[Sale_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Total Sales]" caption="Sum of Total Sales" measure="1" displayFolder="" measureGroup="sales_data" count="0" hidden="1">
      <extLst>
        <ext xmlns:x15="http://schemas.microsoft.com/office/spreadsheetml/2010/11/main" uri="{B97F6D7D-B522-45F9-BDA1-12C45D357490}">
          <x15:cacheHierarchy aggregatedColumn="13"/>
        </ext>
      </extLst>
    </cacheHierarchy>
    <cacheHierarchy uniqueName="[Measures].[Sum of Total Profit]" caption="Sum of Total Profit" measure="1" displayFolder="" measureGroup="sales_data" count="0" hidden="1">
      <extLst>
        <ext xmlns:x15="http://schemas.microsoft.com/office/spreadsheetml/2010/11/main" uri="{B97F6D7D-B522-45F9-BDA1-12C45D357490}">
          <x15:cacheHierarchy aggregatedColumn="14"/>
        </ext>
      </extLst>
    </cacheHierarchy>
    <cacheHierarchy uniqueName="[Measures].[Sum of Quantity_Sold]" caption="Sum of Quantity_Sold" measure="1" displayFolder="" measureGroup="sales_data" count="0" hidden="1">
      <extLst>
        <ext xmlns:x15="http://schemas.microsoft.com/office/spreadsheetml/2010/11/main" uri="{B97F6D7D-B522-45F9-BDA1-12C45D357490}">
          <x15:cacheHierarchy aggregatedColumn="10"/>
        </ext>
      </extLst>
    </cacheHierarchy>
    <cacheHierarchy uniqueName="[Measures].[Count of Product_Category]" caption="Count of Product_Category" measure="1" displayFolder="" measureGroup="sales_data" count="0" hidden="1">
      <extLst>
        <ext xmlns:x15="http://schemas.microsoft.com/office/spreadsheetml/2010/11/main" uri="{B97F6D7D-B522-45F9-BDA1-12C45D357490}">
          <x15:cacheHierarchy aggregatedColumn="4"/>
        </ext>
      </extLst>
    </cacheHierarchy>
    <cacheHierarchy uniqueName="[Measures].[Count of Sales_Channel]" caption="Count of Sales_Channel" measure="1" displayFolder="" measureGroup="sales_data" count="0" hidden="1">
      <extLst>
        <ext xmlns:x15="http://schemas.microsoft.com/office/spreadsheetml/2010/11/main" uri="{B97F6D7D-B522-45F9-BDA1-12C45D357490}">
          <x15:cacheHierarchy aggregatedColumn="7"/>
        </ext>
      </extLst>
    </cacheHierarchy>
    <cacheHierarchy uniqueName="[Measures].[Sum of Unit_Cost]" caption="Sum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Unit_Cost]" caption="Count of Unit_Cost" measure="1" displayFolder="" measureGroup="sales_data" count="0" hidden="1">
      <extLst>
        <ext xmlns:x15="http://schemas.microsoft.com/office/spreadsheetml/2010/11/main" uri="{B97F6D7D-B522-45F9-BDA1-12C45D357490}">
          <x15:cacheHierarchy aggregatedColumn="8"/>
        </ext>
      </extLst>
    </cacheHierarchy>
    <cacheHierarchy uniqueName="[Measures].[Count of Customer_Type]" caption="Count of Customer_Type" measure="1" displayFolder="" measureGroup="sales_data" count="0" hidden="1">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Average of Profit Margin]" caption="Average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rofit Margin]" caption="Count of Profit Margin" measure="1" displayFolder="" measureGroup="sales_data" count="0" hidden="1">
      <extLst>
        <ext xmlns:x15="http://schemas.microsoft.com/office/spreadsheetml/2010/11/main" uri="{B97F6D7D-B522-45F9-BDA1-12C45D357490}">
          <x15:cacheHierarchy aggregatedColumn="15"/>
        </ext>
      </extLst>
    </cacheHierarchy>
    <cacheHierarchy uniqueName="[Measures].[Count of Payment_Method]" caption="Count of Payment_Method" measure="1" displayFolder="" measureGroup="sales_data" count="0" hidden="1">
      <extLst>
        <ext xmlns:x15="http://schemas.microsoft.com/office/spreadsheetml/2010/11/main" uri="{B97F6D7D-B522-45F9-BDA1-12C45D357490}">
          <x15:cacheHierarchy aggregatedColumn="6"/>
        </ext>
      </extLst>
    </cacheHierarchy>
    <cacheHierarchy uniqueName="[Measures].[Count of Quantity_Sold]" caption="Count of Quantity_Sold" measure="1" displayFolder="" measureGroup="sales_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138393024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36C13A-6AA5-4380-B0CD-A9709D78F4AE}" name="PivotTable6"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C1:F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1" baseField="0" baseItem="0"/>
    <dataField name="Sum of Quantity_Sold" fld="0" baseField="0" baseItem="0"/>
    <dataField name="Sum of Total Profit" fld="2" baseField="0" baseItem="0"/>
    <dataField name="Average of Profit Margin" fld="3" subtotal="average" baseField="0" baseItem="3" numFmtId="10"/>
  </dataFields>
  <formats count="1">
    <format dxfId="80">
      <pivotArea outline="0" collapsedLevelsAreSubtotals="1" fieldPosition="0">
        <references count="1">
          <reference field="4294967294" count="1" selected="0">
            <x v="3"/>
          </reference>
        </references>
      </pivotArea>
    </format>
  </formats>
  <pivotHierarchies count="35">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ies>
  <pivotTableStyleInfo name="PivotStyleLight16" showRowHeaders="1" showColHeaders="1" showRowStripes="0" showColStripes="0" showLastColumn="1"/>
  <filters count="1">
    <filter fld="4" type="dateBetween" evalOrder="-1" id="7" name="[sales_data].[Sale_Date]">
      <autoFilter ref="A1">
        <filterColumn colId="0">
          <customFilters and="1">
            <customFilter operator="greaterThanOrEqual" val="44927"/>
            <customFilter operator="lessThanOrEqual" val="45382"/>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54A08B-EFC4-4E4A-B016-012148D0DAD3}" name="PivotTable1"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7" rowHeaderCaption="">
  <location ref="A8:D24" firstHeaderRow="0" firstDataRow="1" firstDataCol="1"/>
  <pivotFields count="6">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2">
    <field x="1"/>
    <field x="0"/>
  </rowFields>
  <rowItems count="16">
    <i>
      <x/>
    </i>
    <i r="1">
      <x/>
    </i>
    <i r="1">
      <x v="1"/>
    </i>
    <i r="1">
      <x v="2"/>
    </i>
    <i r="1">
      <x v="3"/>
    </i>
    <i r="1">
      <x v="4"/>
    </i>
    <i r="1">
      <x v="5"/>
    </i>
    <i r="1">
      <x v="6"/>
    </i>
    <i r="1">
      <x v="7"/>
    </i>
    <i r="1">
      <x v="8"/>
    </i>
    <i r="1">
      <x v="9"/>
    </i>
    <i r="1">
      <x v="10"/>
    </i>
    <i r="1">
      <x v="11"/>
    </i>
    <i>
      <x v="1"/>
    </i>
    <i r="1">
      <x/>
    </i>
    <i t="grand">
      <x/>
    </i>
  </rowItems>
  <colFields count="1">
    <field x="-2"/>
  </colFields>
  <colItems count="3">
    <i>
      <x/>
    </i>
    <i i="1">
      <x v="1"/>
    </i>
    <i i="2">
      <x v="2"/>
    </i>
  </colItems>
  <dataFields count="3">
    <dataField name="Total Sales" fld="2" baseField="1" baseItem="0" numFmtId="44"/>
    <dataField name="Total Profit" fld="3" baseField="1" baseItem="0" numFmtId="44"/>
    <dataField name="Quantity Sold" fld="5" subtotal="count" baseField="1" baseItem="0"/>
  </dataFields>
  <formats count="18">
    <format dxfId="17">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 dxfId="15">
      <pivotArea outline="0" collapsedLevelsAreSubtotals="1" fieldPosition="0">
        <references count="1">
          <reference field="4294967294" count="1" selected="0">
            <x v="1"/>
          </reference>
        </references>
      </pivotArea>
    </format>
    <format dxfId="14">
      <pivotArea dataOnly="0" labelOnly="1" outline="0" fieldPosition="0">
        <references count="1">
          <reference field="4294967294" count="1">
            <x v="1"/>
          </reference>
        </references>
      </pivotArea>
    </format>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fieldPosition="0">
        <references count="2">
          <reference field="0" count="0"/>
          <reference field="1" count="1" selected="0">
            <x v="0"/>
          </reference>
        </references>
      </pivotArea>
    </format>
    <format dxfId="7">
      <pivotArea dataOnly="0" labelOnly="1" fieldPosition="0">
        <references count="2">
          <reference field="0" count="1">
            <x v="0"/>
          </reference>
          <reference field="1" count="1" selected="0">
            <x v="1"/>
          </reference>
        </references>
      </pivotArea>
    </format>
    <format dxfId="6">
      <pivotArea dataOnly="0" labelOnly="1" outline="0" fieldPosition="0">
        <references count="1">
          <reference field="4294967294" count="2">
            <x v="0"/>
            <x v="1"/>
          </reference>
        </references>
      </pivotArea>
    </format>
    <format dxfId="5">
      <pivotArea collapsedLevelsAreSubtotals="1" fieldPosition="0">
        <references count="2">
          <reference field="0" count="0"/>
          <reference field="1" count="1" selected="0">
            <x v="0"/>
          </reference>
        </references>
      </pivotArea>
    </format>
    <format dxfId="4">
      <pivotArea collapsedLevelsAreSubtotals="1" fieldPosition="0">
        <references count="1">
          <reference field="1" count="1">
            <x v="1"/>
          </reference>
        </references>
      </pivotArea>
    </format>
    <format dxfId="3">
      <pivotArea collapsedLevelsAreSubtotals="1" fieldPosition="0">
        <references count="2">
          <reference field="0" count="1">
            <x v="0"/>
          </reference>
          <reference field="1" count="1" selected="0">
            <x v="1"/>
          </reference>
        </references>
      </pivotArea>
    </format>
    <format dxfId="2">
      <pivotArea grandRow="1" outline="0" collapsedLevelsAreSubtotals="1" fieldPosition="0"/>
    </format>
    <format dxfId="1">
      <pivotArea collapsedLevelsAreSubtotals="1" fieldPosition="0">
        <references count="3">
          <reference field="4294967294" count="1" selected="0">
            <x v="2"/>
          </reference>
          <reference field="0" count="0"/>
          <reference field="1" count="1" selected="0">
            <x v="0"/>
          </reference>
        </references>
      </pivotArea>
    </format>
    <format dxfId="0">
      <pivotArea field="1" grandRow="1" outline="0" collapsedLevelsAreSubtotals="1" axis="axisRow" fieldPosition="0">
        <references count="1">
          <reference field="4294967294" count="1" selected="0">
            <x v="2"/>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2"/>
          </reference>
        </references>
      </pivotArea>
    </chartFormat>
  </chartFormats>
  <pivotHierarchies count="35">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ntity Sold"/>
  </pivotHierarchies>
  <pivotTableStyleInfo name="PivotStyleLight13" showRowHeaders="1" showColHeaders="1" showRowStripes="1" showColStripes="1" showLastColumn="1"/>
  <filters count="1">
    <filter fld="4" type="dateBetween" evalOrder="-1" id="19" name="[sales_data].[Sale_Date]">
      <autoFilter ref="A1">
        <filterColumn colId="0">
          <customFilters and="1">
            <customFilter operator="greaterThanOrEqual" val="44927"/>
            <customFilter operator="lessThanOrEqual" val="45382"/>
          </customFilters>
        </filterColumn>
      </autoFilter>
      <extLst>
        <ext xmlns:x15="http://schemas.microsoft.com/office/spreadsheetml/2010/11/main" uri="{0605FD5F-26C8-4aeb-8148-2DB25E43C511}">
          <x15:pivotFilter useWholeDay="1"/>
        </ext>
      </extLst>
    </filter>
  </filters>
  <rowHierarchiesUsage count="2">
    <rowHierarchyUsage hierarchyUsage="16"/>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Data Analysis.xlsx!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77738F-6AF6-4E97-8FE0-ECBE29BA4155}" name="PivotTable5"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A38:F45"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efaultSubtotal="0" defaultAttributeDrillState="1">
      <items count="4">
        <item x="1"/>
        <item x="2"/>
        <item x="0"/>
        <item x="3"/>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5">
    <i>
      <x/>
    </i>
    <i>
      <x v="1"/>
    </i>
    <i>
      <x v="2"/>
    </i>
    <i>
      <x v="3"/>
    </i>
    <i t="grand">
      <x/>
    </i>
  </colItems>
  <dataFields count="1">
    <dataField name="Sum of Total Profit" fld="1" baseField="0" baseItem="0" numFmtId="165"/>
  </dataFields>
  <formats count="11">
    <format dxfId="28">
      <pivotArea outline="0" collapsedLevelsAreSubtotals="1" fieldPosition="0"/>
    </format>
    <format dxfId="27">
      <pivotArea dataOnly="0" labelOnly="1" grandCol="1" outline="0"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type="topRight" dataOnly="0" labelOnly="1" outline="0"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grandCol="1" outline="0" fieldPosition="0"/>
    </format>
    <format dxfId="18">
      <pivotArea outline="0" collapsedLevelsAreSubtotals="1" fieldPosition="0"/>
    </format>
  </formats>
  <chartFormats count="5">
    <chartFormat chart="2" format="4" series="1">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2">
          <reference field="4294967294" count="1" selected="0">
            <x v="0"/>
          </reference>
          <reference field="2" count="1" selected="0">
            <x v="3"/>
          </reference>
        </references>
      </pivotArea>
    </chartFormat>
    <chartFormat chart="2" format="8">
      <pivotArea type="data" outline="0" fieldPosition="0">
        <references count="3">
          <reference field="4294967294" count="1" selected="0">
            <x v="0"/>
          </reference>
          <reference field="0" count="1" selected="0">
            <x v="3"/>
          </reference>
          <reference field="2" count="1" selected="0">
            <x v="0"/>
          </reference>
        </references>
      </pivotArea>
    </chartFormat>
  </chartFormats>
  <pivotHierarchies count="35">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caption="Count of Profit Margin"/>
    <pivotHierarchy dragToData="1"/>
    <pivotHierarchy dragToData="1"/>
  </pivotHierarchies>
  <pivotTableStyleInfo name="PivotStyleLight13" showRowHeaders="1" showColHeaders="1" showRowStripes="0" showColStripes="0" showLastColumn="1"/>
  <filters count="1">
    <filter fld="3" type="dateBetween" evalOrder="-1" id="18" name="[sales_data].[Sale_Date]">
      <autoFilter ref="A1">
        <filterColumn colId="0">
          <customFilters and="1">
            <customFilter operator="greaterThanOrEqual" val="44927"/>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83992F-CEE2-4704-AC87-BA9F6DB9FD69}" name="PivotTable4"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A48:H55" firstHeaderRow="1" firstDataRow="3" firstDataCol="1"/>
  <pivotFields count="5">
    <pivotField axis="axisCol" allDrilled="1" subtotalTop="0" showAll="0" dataSourceSort="1" defaultSubtotal="0" defaultAttributeDrillState="1">
      <items count="2">
        <item x="0"/>
        <item x="1"/>
      </items>
    </pivotField>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Fields count="2">
    <field x="1"/>
    <field x="0"/>
  </colFields>
  <colItems count="7">
    <i>
      <x/>
      <x/>
    </i>
    <i r="1">
      <x v="1"/>
    </i>
    <i>
      <x v="1"/>
      <x/>
    </i>
    <i r="1">
      <x v="1"/>
    </i>
    <i>
      <x v="2"/>
      <x/>
    </i>
    <i r="1">
      <x v="1"/>
    </i>
    <i t="grand">
      <x/>
    </i>
  </colItems>
  <dataFields count="1">
    <dataField name="Count of Payment Method" fld="3" subtotal="count" baseField="0" baseItem="0"/>
  </dataFields>
  <formats count="14">
    <format dxfId="42">
      <pivotArea type="all" dataOnly="0" outline="0" fieldPosition="0"/>
    </format>
    <format dxfId="41">
      <pivotArea outline="0" collapsedLevelsAreSubtotals="1" fieldPosition="0"/>
    </format>
    <format dxfId="40">
      <pivotArea type="origin" dataOnly="0" labelOnly="1" outline="0" fieldPosition="0"/>
    </format>
    <format dxfId="39">
      <pivotArea field="1" type="button" dataOnly="0" labelOnly="1" outline="0" axis="axisCol" fieldPosition="0"/>
    </format>
    <format dxfId="38">
      <pivotArea field="0" type="button" dataOnly="0" labelOnly="1" outline="0" axis="axisCol" fieldPosition="1"/>
    </format>
    <format dxfId="37">
      <pivotArea type="topRight" dataOnly="0" labelOnly="1" outline="0" fieldPosition="0"/>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dataOnly="0" labelOnly="1" fieldPosition="0">
        <references count="1">
          <reference field="1" count="0"/>
        </references>
      </pivotArea>
    </format>
    <format dxfId="32">
      <pivotArea dataOnly="0" labelOnly="1" grandCol="1" outline="0" fieldPosition="0"/>
    </format>
    <format dxfId="31">
      <pivotArea dataOnly="0" labelOnly="1" fieldPosition="0">
        <references count="2">
          <reference field="0" count="0"/>
          <reference field="1" count="1" selected="0">
            <x v="0"/>
          </reference>
        </references>
      </pivotArea>
    </format>
    <format dxfId="30">
      <pivotArea dataOnly="0" labelOnly="1" fieldPosition="0">
        <references count="2">
          <reference field="0" count="0"/>
          <reference field="1" count="1" selected="0">
            <x v="1"/>
          </reference>
        </references>
      </pivotArea>
    </format>
    <format dxfId="29">
      <pivotArea dataOnly="0" labelOnly="1" fieldPosition="0">
        <references count="2">
          <reference field="0" count="0"/>
          <reference field="1" count="1" selected="0">
            <x v="2"/>
          </reference>
        </references>
      </pivotArea>
    </format>
  </formats>
  <chartFormats count="6">
    <chartFormat chart="2" format="6" series="1">
      <pivotArea type="data" outline="0" fieldPosition="0">
        <references count="3">
          <reference field="4294967294" count="1" selected="0">
            <x v="0"/>
          </reference>
          <reference field="0" count="1" selected="0">
            <x v="0"/>
          </reference>
          <reference field="1" count="1" selected="0">
            <x v="0"/>
          </reference>
        </references>
      </pivotArea>
    </chartFormat>
    <chartFormat chart="2" format="7" series="1">
      <pivotArea type="data" outline="0" fieldPosition="0">
        <references count="3">
          <reference field="4294967294" count="1" selected="0">
            <x v="0"/>
          </reference>
          <reference field="0" count="1" selected="0">
            <x v="1"/>
          </reference>
          <reference field="1" count="1" selected="0">
            <x v="0"/>
          </reference>
        </references>
      </pivotArea>
    </chartFormat>
    <chartFormat chart="2" format="8" series="1">
      <pivotArea type="data" outline="0" fieldPosition="0">
        <references count="3">
          <reference field="4294967294" count="1" selected="0">
            <x v="0"/>
          </reference>
          <reference field="0" count="1" selected="0">
            <x v="0"/>
          </reference>
          <reference field="1" count="1" selected="0">
            <x v="1"/>
          </reference>
        </references>
      </pivotArea>
    </chartFormat>
    <chartFormat chart="2" format="9" series="1">
      <pivotArea type="data" outline="0" fieldPosition="0">
        <references count="3">
          <reference field="4294967294" count="1" selected="0">
            <x v="0"/>
          </reference>
          <reference field="0" count="1" selected="0">
            <x v="1"/>
          </reference>
          <reference field="1" count="1" selected="0">
            <x v="1"/>
          </reference>
        </references>
      </pivotArea>
    </chartFormat>
    <chartFormat chart="2" format="10" series="1">
      <pivotArea type="data" outline="0" fieldPosition="0">
        <references count="3">
          <reference field="4294967294" count="1" selected="0">
            <x v="0"/>
          </reference>
          <reference field="0" count="1" selected="0">
            <x v="0"/>
          </reference>
          <reference field="1" count="1" selected="0">
            <x v="2"/>
          </reference>
        </references>
      </pivotArea>
    </chartFormat>
    <chartFormat chart="2" format="11" series="1">
      <pivotArea type="data" outline="0" fieldPosition="0">
        <references count="3">
          <reference field="4294967294" count="1" selected="0">
            <x v="0"/>
          </reference>
          <reference field="0" count="1" selected="0">
            <x v="1"/>
          </reference>
          <reference field="1" count="1" selected="0">
            <x v="2"/>
          </reference>
        </references>
      </pivotArea>
    </chartFormat>
  </chartFormats>
  <pivotHierarchies count="35">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Unit_Cost"/>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1">
    <filter fld="4" type="dateBetween" evalOrder="-1" id="18" name="[sales_data].[Sale_Date]">
      <autoFilter ref="A1">
        <filterColumn colId="0">
          <customFilters and="1">
            <customFilter operator="greaterThanOrEqual" val="44927"/>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colHierarchiesUsage count="2">
    <colHierarchyUsage hierarchyUsage="6"/>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63C0AF-24A2-4B27-90AD-86E7704F95C2}" name="PivotTable3"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F8:I25" firstHeaderRow="1" firstDataRow="2"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3"/>
    <field x="0"/>
  </rowFields>
  <rowItems count="16">
    <i>
      <x/>
    </i>
    <i r="1">
      <x/>
    </i>
    <i r="1">
      <x v="1"/>
    </i>
    <i r="1">
      <x v="2"/>
    </i>
    <i r="1">
      <x v="3"/>
    </i>
    <i r="1">
      <x v="4"/>
    </i>
    <i r="1">
      <x v="5"/>
    </i>
    <i r="1">
      <x v="6"/>
    </i>
    <i r="1">
      <x v="7"/>
    </i>
    <i r="1">
      <x v="8"/>
    </i>
    <i r="1">
      <x v="9"/>
    </i>
    <i r="1">
      <x v="10"/>
    </i>
    <i r="1">
      <x v="11"/>
    </i>
    <i>
      <x v="1"/>
    </i>
    <i r="1">
      <x/>
    </i>
    <i t="grand">
      <x/>
    </i>
  </rowItems>
  <colFields count="1">
    <field x="1"/>
  </colFields>
  <colItems count="3">
    <i>
      <x/>
    </i>
    <i>
      <x v="1"/>
    </i>
    <i t="grand">
      <x/>
    </i>
  </colItems>
  <dataFields count="1">
    <dataField name="Sum of Total Sales" fld="2" baseField="0" baseItem="0" numFmtId="44"/>
  </dataFields>
  <formats count="27">
    <format dxfId="69">
      <pivotArea outline="0" collapsedLevelsAreSubtotals="1" fieldPosition="0"/>
    </format>
    <format dxfId="68">
      <pivotArea dataOnly="0" labelOnly="1" fieldPosition="0">
        <references count="1">
          <reference field="1" count="0"/>
        </references>
      </pivotArea>
    </format>
    <format dxfId="67">
      <pivotArea dataOnly="0" labelOnly="1" grandCol="1" outline="0"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 type="button" dataOnly="0" labelOnly="1" outline="0" axis="axisCol" fieldPosition="0"/>
    </format>
    <format dxfId="62">
      <pivotArea type="topRight" dataOnly="0" labelOnly="1" outline="0" fieldPosition="0"/>
    </format>
    <format dxfId="61">
      <pivotArea field="0" type="button" dataOnly="0" labelOnly="1" outline="0" axis="axisRow" fieldPosition="1"/>
    </format>
    <format dxfId="60">
      <pivotArea dataOnly="0" labelOnly="1" fieldPosition="0">
        <references count="1">
          <reference field="0" count="0"/>
        </references>
      </pivotArea>
    </format>
    <format dxfId="59">
      <pivotArea dataOnly="0" labelOnly="1" grandRow="1" outline="0" fieldPosition="0"/>
    </format>
    <format dxfId="58">
      <pivotArea dataOnly="0" labelOnly="1" fieldPosition="0">
        <references count="1">
          <reference field="1" count="0"/>
        </references>
      </pivotArea>
    </format>
    <format dxfId="57">
      <pivotArea dataOnly="0" labelOnly="1" grandCol="1" outline="0" fieldPosition="0"/>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1" type="button" dataOnly="0" labelOnly="1" outline="0" axis="axisCol" fieldPosition="0"/>
    </format>
    <format dxfId="52">
      <pivotArea type="topRight" dataOnly="0" labelOnly="1" outline="0" fieldPosition="0"/>
    </format>
    <format dxfId="51">
      <pivotArea field="0" type="button" dataOnly="0" labelOnly="1" outline="0" axis="axisRow" fieldPosition="1"/>
    </format>
    <format dxfId="50">
      <pivotArea dataOnly="0" labelOnly="1" fieldPosition="0">
        <references count="1">
          <reference field="0" count="0"/>
        </references>
      </pivotArea>
    </format>
    <format dxfId="49">
      <pivotArea dataOnly="0" labelOnly="1" grandRow="1" outline="0" fieldPosition="0"/>
    </format>
    <format dxfId="48">
      <pivotArea dataOnly="0" labelOnly="1" fieldPosition="0">
        <references count="1">
          <reference field="1" count="0"/>
        </references>
      </pivotArea>
    </format>
    <format dxfId="47">
      <pivotArea dataOnly="0" labelOnly="1" grandCol="1" outline="0" fieldPosition="0"/>
    </format>
    <format dxfId="46">
      <pivotArea collapsedLevelsAreSubtotals="1" fieldPosition="0">
        <references count="2">
          <reference field="0" count="0"/>
          <reference field="3" count="1" selected="0">
            <x v="0"/>
          </reference>
        </references>
      </pivotArea>
    </format>
    <format dxfId="45">
      <pivotArea collapsedLevelsAreSubtotals="1" fieldPosition="0">
        <references count="1">
          <reference field="3" count="1">
            <x v="1"/>
          </reference>
        </references>
      </pivotArea>
    </format>
    <format dxfId="44">
      <pivotArea collapsedLevelsAreSubtotals="1" fieldPosition="0">
        <references count="2">
          <reference field="0" count="1">
            <x v="0"/>
          </reference>
          <reference field="3" count="1" selected="0">
            <x v="1"/>
          </reference>
        </references>
      </pivotArea>
    </format>
    <format dxfId="43">
      <pivotArea grandRow="1" outline="0" collapsedLevelsAreSubtotals="1" fieldPosition="0"/>
    </format>
  </formats>
  <chartFormats count="2">
    <chartFormat chart="7" format="2" series="1">
      <pivotArea type="data" outline="0" fieldPosition="0">
        <references count="2">
          <reference field="4294967294" count="1" selected="0">
            <x v="0"/>
          </reference>
          <reference field="1" count="1" selected="0">
            <x v="0"/>
          </reference>
        </references>
      </pivotArea>
    </chartFormat>
    <chartFormat chart="7" format="3" series="1">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1">
    <filter fld="4" type="dateBetween" evalOrder="-1" id="19" name="[sales_data].[Sale_Date]">
      <autoFilter ref="A1">
        <filterColumn colId="0">
          <customFilters and="1">
            <customFilter operator="greaterThanOrEqual" val="44927"/>
            <customFilter operator="lessThanOrEqual" val="45382"/>
          </customFilters>
        </filterColumn>
      </autoFilter>
      <extLst>
        <ext xmlns:x15="http://schemas.microsoft.com/office/spreadsheetml/2010/11/main" uri="{0605FD5F-26C8-4aeb-8148-2DB25E43C511}">
          <x15:pivotFilter useWholeDay="1"/>
        </ext>
      </extLst>
    </filter>
  </filters>
  <rowHierarchiesUsage count="2">
    <rowHierarchyUsage hierarchyUsage="16"/>
    <rowHierarchyUsage hierarchyUsage="1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237BE5-0804-4DF2-BA03-8AAE29382B19}" name="PivotTable2"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6">
  <location ref="A28:J35" firstHeaderRow="1" firstDataRow="3" firstDataCol="1"/>
  <pivotFields count="5">
    <pivotField axis="axisRow" allDrilled="1" subtotalTop="0" showAll="0" dataSourceSort="1" defaultSubtotal="0" defaultAttributeDrillState="1">
      <items count="4">
        <item x="0"/>
        <item x="1"/>
        <item x="2"/>
        <item x="3"/>
      </items>
    </pivotField>
    <pivotField axis="axisCol" allDrilled="1" subtotalTop="0" showAll="0" defaultSubtotal="0" defaultAttributeDrillState="1">
      <items count="4">
        <item x="3"/>
        <item x="0"/>
        <item x="2"/>
        <item x="1"/>
      </items>
    </pivotField>
    <pivotField axis="axisCol"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2">
    <field x="1"/>
    <field x="2"/>
  </colFields>
  <colItems count="9">
    <i>
      <x/>
      <x/>
    </i>
    <i r="1">
      <x v="1"/>
    </i>
    <i>
      <x v="1"/>
      <x/>
    </i>
    <i r="1">
      <x v="1"/>
    </i>
    <i>
      <x v="2"/>
      <x/>
    </i>
    <i r="1">
      <x v="1"/>
    </i>
    <i>
      <x v="3"/>
      <x/>
    </i>
    <i r="1">
      <x v="1"/>
    </i>
    <i t="grand">
      <x/>
    </i>
  </colItems>
  <dataFields count="1">
    <dataField name="Sum of Quantity Sold" fld="3" baseField="0" baseItem="0"/>
  </dataFields>
  <formats count="10">
    <format dxfId="79">
      <pivotArea type="all" dataOnly="0" outline="0" fieldPosition="0"/>
    </format>
    <format dxfId="78">
      <pivotArea outline="0" collapsedLevelsAreSubtotals="1" fieldPosition="0"/>
    </format>
    <format dxfId="77">
      <pivotArea type="origin" dataOnly="0" labelOnly="1" outline="0" fieldPosition="0"/>
    </format>
    <format dxfId="76">
      <pivotArea field="1" type="button" dataOnly="0" labelOnly="1" outline="0" axis="axisCol" fieldPosition="0"/>
    </format>
    <format dxfId="75">
      <pivotArea type="topRight" dataOnly="0" labelOnly="1" outline="0"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fieldPosition="0">
        <references count="1">
          <reference field="1" count="0"/>
        </references>
      </pivotArea>
    </format>
    <format dxfId="70">
      <pivotArea dataOnly="0" labelOnly="1" grandCol="1" outline="0" fieldPosition="0"/>
    </format>
  </formats>
  <chartFormats count="11">
    <chartFormat chart="3" format="8" series="1">
      <pivotArea type="data" outline="0" fieldPosition="0">
        <references count="3">
          <reference field="4294967294" count="1" selected="0">
            <x v="0"/>
          </reference>
          <reference field="1" count="1" selected="0">
            <x v="1"/>
          </reference>
          <reference field="2" count="1" selected="0">
            <x v="0"/>
          </reference>
        </references>
      </pivotArea>
    </chartFormat>
    <chartFormat chart="3" format="9" series="1">
      <pivotArea type="data" outline="0" fieldPosition="0">
        <references count="3">
          <reference field="4294967294" count="1" selected="0">
            <x v="0"/>
          </reference>
          <reference field="1" count="1" selected="0">
            <x v="1"/>
          </reference>
          <reference field="2" count="1" selected="0">
            <x v="1"/>
          </reference>
        </references>
      </pivotArea>
    </chartFormat>
    <chartFormat chart="3" format="10" series="1">
      <pivotArea type="data" outline="0" fieldPosition="0">
        <references count="3">
          <reference field="4294967294" count="1" selected="0">
            <x v="0"/>
          </reference>
          <reference field="1" count="1" selected="0">
            <x v="3"/>
          </reference>
          <reference field="2" count="1" selected="0">
            <x v="0"/>
          </reference>
        </references>
      </pivotArea>
    </chartFormat>
    <chartFormat chart="3" format="11" series="1">
      <pivotArea type="data" outline="0" fieldPosition="0">
        <references count="3">
          <reference field="4294967294" count="1" selected="0">
            <x v="0"/>
          </reference>
          <reference field="1" count="1" selected="0">
            <x v="3"/>
          </reference>
          <reference field="2" count="1" selected="0">
            <x v="1"/>
          </reference>
        </references>
      </pivotArea>
    </chartFormat>
    <chartFormat chart="3" format="12" series="1">
      <pivotArea type="data" outline="0" fieldPosition="0">
        <references count="3">
          <reference field="4294967294" count="1" selected="0">
            <x v="0"/>
          </reference>
          <reference field="1" count="1" selected="0">
            <x v="2"/>
          </reference>
          <reference field="2" count="1" selected="0">
            <x v="0"/>
          </reference>
        </references>
      </pivotArea>
    </chartFormat>
    <chartFormat chart="3" format="13" series="1">
      <pivotArea type="data" outline="0" fieldPosition="0">
        <references count="3">
          <reference field="4294967294" count="1" selected="0">
            <x v="0"/>
          </reference>
          <reference field="1" count="1" selected="0">
            <x v="2"/>
          </reference>
          <reference field="2" count="1" selected="0">
            <x v="1"/>
          </reference>
        </references>
      </pivotArea>
    </chartFormat>
    <chartFormat chart="3" format="14" series="1">
      <pivotArea type="data" outline="0" fieldPosition="0">
        <references count="3">
          <reference field="4294967294" count="1" selected="0">
            <x v="0"/>
          </reference>
          <reference field="1" count="1" selected="0">
            <x v="0"/>
          </reference>
          <reference field="2" count="1" selected="0">
            <x v="0"/>
          </reference>
        </references>
      </pivotArea>
    </chartFormat>
    <chartFormat chart="3" format="15" series="1">
      <pivotArea type="data" outline="0" fieldPosition="0">
        <references count="3">
          <reference field="4294967294" count="1" selected="0">
            <x v="0"/>
          </reference>
          <reference field="1" count="1" selected="0">
            <x v="0"/>
          </reference>
          <reference field="2" count="1" selected="0">
            <x v="1"/>
          </reference>
        </references>
      </pivotArea>
    </chartFormat>
    <chartFormat chart="3" format="16">
      <pivotArea type="data" outline="0" fieldPosition="0">
        <references count="4">
          <reference field="4294967294" count="1" selected="0">
            <x v="0"/>
          </reference>
          <reference field="0" count="1" selected="0">
            <x v="0"/>
          </reference>
          <reference field="1" count="1" selected="0">
            <x v="3"/>
          </reference>
          <reference field="2" count="1" selected="0">
            <x v="1"/>
          </reference>
        </references>
      </pivotArea>
    </chartFormat>
    <chartFormat chart="3" format="17">
      <pivotArea type="data" outline="0" fieldPosition="0">
        <references count="4">
          <reference field="4294967294" count="1" selected="0">
            <x v="0"/>
          </reference>
          <reference field="0" count="1" selected="0">
            <x v="1"/>
          </reference>
          <reference field="1" count="1" selected="0">
            <x v="1"/>
          </reference>
          <reference field="2" count="1" selected="0">
            <x v="0"/>
          </reference>
        </references>
      </pivotArea>
    </chartFormat>
    <chartFormat chart="3" format="18">
      <pivotArea type="data" outline="0" fieldPosition="0">
        <references count="4">
          <reference field="4294967294" count="1" selected="0">
            <x v="0"/>
          </reference>
          <reference field="0" count="1" selected="0">
            <x v="0"/>
          </reference>
          <reference field="1" count="1" selected="0">
            <x v="1"/>
          </reference>
          <reference field="2" count="1" selected="0">
            <x v="0"/>
          </reference>
        </references>
      </pivotArea>
    </chartFormat>
  </chartFormats>
  <pivotHierarchies count="35">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Sum of Quantity Sol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1" showColStripes="1" showLastColumn="1"/>
  <filters count="1">
    <filter fld="4" type="dateBetween" evalOrder="-1" id="19" name="[sales_data].[Sale_Date]">
      <autoFilter ref="A1">
        <filterColumn colId="0">
          <customFilters and="1">
            <customFilter operator="greaterThanOrEqual" val="44927"/>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2">
    <colHierarchyUsage hierarchyUsage="3"/>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7B1D40-BFDD-4EA0-B1D5-A44727E306CB}" autoFormatId="16" applyNumberFormats="0" applyBorderFormats="0" applyFontFormats="0" applyPatternFormats="0" applyAlignmentFormats="0" applyWidthHeightFormats="0">
  <queryTableRefresh nextId="18">
    <queryTableFields count="16">
      <queryTableField id="1" name="Product_ID" tableColumnId="1"/>
      <queryTableField id="2" name="Sale_Date" tableColumnId="2"/>
      <queryTableField id="3" name="Sales_Rep" tableColumnId="3"/>
      <queryTableField id="4" name="Region" tableColumnId="4"/>
      <queryTableField id="5" name="Product_Category" tableColumnId="5"/>
      <queryTableField id="6" name="Customer_Type" tableColumnId="6"/>
      <queryTableField id="7" name="Payment_Method" tableColumnId="7"/>
      <queryTableField id="8" name="Sales_Channel" tableColumnId="8"/>
      <queryTableField id="9" name="Unit_Cost" tableColumnId="9"/>
      <queryTableField id="10" name="Unit_Price" tableColumnId="10"/>
      <queryTableField id="11" name="Quantity_Sold" tableColumnId="11"/>
      <queryTableField id="12" name="Discount" tableColumnId="12"/>
      <queryTableField id="14" name="Total Cost" tableColumnId="14"/>
      <queryTableField id="15" name="Total Sales " tableColumnId="15"/>
      <queryTableField id="16" name="Total Profit" tableColumnId="16"/>
      <queryTableField id="17" name="Profit Margin"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F8F4D2F-D8FF-4B03-A5E2-CFF780505264}" sourceName="[sales_data].[Product_Category]">
  <pivotTables>
    <pivotTable tabId="3" name="PivotTable5"/>
    <pivotTable tabId="3" name="PivotTable1"/>
    <pivotTable tabId="3" name="PivotTable2"/>
    <pivotTable tabId="3" name="PivotTable3"/>
    <pivotTable tabId="3" name="PivotTable4"/>
    <pivotTable tabId="6" name="PivotTable6"/>
  </pivotTables>
  <data>
    <olap pivotCacheId="499358191">
      <levels count="2">
        <level uniqueName="[sales_data].[Product_Category].[(All)]" sourceCaption="(All)" count="0"/>
        <level uniqueName="[sales_data].[Product_Category].[Product_Category]" sourceCaption="Product_Category" count="4">
          <ranges>
            <range startItem="0">
              <i n="[sales_data].[Product_Category].&amp;[Clothing]" c="Clothing"/>
              <i n="[sales_data].[Product_Category].&amp;[Electronics]" c="Electronics"/>
              <i n="[sales_data].[Product_Category].&amp;[Food]" c="Food"/>
              <i n="[sales_data].[Product_Category].&amp;[Furniture]" c="Furniture"/>
            </range>
          </ranges>
        </level>
      </levels>
      <selections count="1">
        <selection n="[sales_data].[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1208C0-8283-4D71-AA23-64F754498D9C}" sourceName="[sales_data].[Region]">
  <pivotTables>
    <pivotTable tabId="3" name="PivotTable1"/>
    <pivotTable tabId="3" name="PivotTable2"/>
    <pivotTable tabId="3" name="PivotTable3"/>
    <pivotTable tabId="3" name="PivotTable4"/>
    <pivotTable tabId="3" name="PivotTable5"/>
    <pivotTable tabId="6" name="PivotTable6"/>
  </pivotTables>
  <data>
    <olap pivotCacheId="499358191">
      <levels count="2">
        <level uniqueName="[sales_data].[Region].[(All)]" sourceCaption="(All)" count="0"/>
        <level uniqueName="[sales_data].[Region].[Region]" sourceCaption="Region" count="4">
          <ranges>
            <range startItem="0">
              <i n="[sales_data].[Region].&amp;[East]" c="East"/>
              <i n="[sales_data].[Region].&amp;[North]" c="North"/>
              <i n="[sales_data].[Region].&amp;[South]" c="South"/>
              <i n="[sales_data].[Region].&amp;[West]" c="West"/>
            </range>
          </ranges>
        </level>
      </levels>
      <selections count="1">
        <selection n="[sales_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7286E2BF-1C54-47ED-82A3-28CE04A873B8}" sourceName="[sales_data].[Customer_Type]">
  <pivotTables>
    <pivotTable tabId="3" name="PivotTable1"/>
    <pivotTable tabId="3" name="PivotTable2"/>
    <pivotTable tabId="3" name="PivotTable3"/>
    <pivotTable tabId="3" name="PivotTable4"/>
    <pivotTable tabId="3" name="PivotTable5"/>
    <pivotTable tabId="6" name="PivotTable6"/>
  </pivotTables>
  <data>
    <olap pivotCacheId="499358191">
      <levels count="2">
        <level uniqueName="[sales_data].[Customer_Type].[(All)]" sourceCaption="(All)" count="0"/>
        <level uniqueName="[sales_data].[Customer_Type].[Customer_Type]" sourceCaption="Customer_Type" count="2">
          <ranges>
            <range startItem="0">
              <i n="[sales_data].[Customer_Type].&amp;[New]" c="New"/>
              <i n="[sales_data].[Customer_Type].&amp;[Returning]" c="Returning"/>
            </range>
          </ranges>
        </level>
      </levels>
      <selections count="1">
        <selection n="[sales_data].[Customer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875B025-35DC-4BCA-B9E5-2A1D28550680}" sourceName="[sales_data].[Sales_Channel]">
  <pivotTables>
    <pivotTable tabId="3" name="PivotTable1"/>
    <pivotTable tabId="3" name="PivotTable2"/>
    <pivotTable tabId="3" name="PivotTable3"/>
    <pivotTable tabId="3" name="PivotTable4"/>
    <pivotTable tabId="3" name="PivotTable5"/>
    <pivotTable tabId="6" name="PivotTable6"/>
  </pivotTables>
  <data>
    <olap pivotCacheId="499358191">
      <levels count="2">
        <level uniqueName="[sales_data].[Sales_Channel].[(All)]" sourceCaption="(All)" count="0"/>
        <level uniqueName="[sales_data].[Sales_Channel].[Sales_Channel]" sourceCaption="Sales_Channel" count="2">
          <ranges>
            <range startItem="0">
              <i n="[sales_data].[Sales_Channel].&amp;[Online]" c="Online"/>
              <i n="[sales_data].[Sales_Channel].&amp;[Retail]" c="Retail"/>
            </range>
          </ranges>
        </level>
      </levels>
      <selections count="1">
        <selection n="[sales_data].[Sales_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C394862-8B2D-4C61-8302-0DF820A9BB1A}" sourceName="[sales_data].[Payment_Method]">
  <pivotTables>
    <pivotTable tabId="3" name="PivotTable1"/>
    <pivotTable tabId="3" name="PivotTable2"/>
    <pivotTable tabId="3" name="PivotTable3"/>
    <pivotTable tabId="3" name="PivotTable4"/>
    <pivotTable tabId="3" name="PivotTable5"/>
    <pivotTable tabId="6" name="PivotTable6"/>
  </pivotTables>
  <data>
    <olap pivotCacheId="499358191">
      <levels count="2">
        <level uniqueName="[sales_data].[Payment_Method].[(All)]" sourceCaption="(All)" count="0"/>
        <level uniqueName="[sales_data].[Payment_Method].[Payment_Method]" sourceCaption="Payment_Method" count="3">
          <ranges>
            <range startItem="0">
              <i n="[sales_data].[Payment_Method].&amp;[Bank Transfer]" c="Bank Transfer"/>
              <i n="[sales_data].[Payment_Method].&amp;[Cash]" c="Cash"/>
              <i n="[sales_data].[Payment_Method].&amp;[Credit Card]" c="Credit Card"/>
            </range>
          </ranges>
        </level>
      </levels>
      <selections count="1">
        <selection n="[sales_data].[Payment_Method].[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8C3E7944-FDDA-468B-8921-EB19A8248904}" sourceName="[sales_data].[Sales_Rep]">
  <pivotTables>
    <pivotTable tabId="3" name="PivotTable1"/>
    <pivotTable tabId="3" name="PivotTable2"/>
    <pivotTable tabId="3" name="PivotTable3"/>
    <pivotTable tabId="3" name="PivotTable4"/>
    <pivotTable tabId="3" name="PivotTable5"/>
    <pivotTable tabId="6" name="PivotTable6"/>
  </pivotTables>
  <data>
    <olap pivotCacheId="499358191">
      <levels count="2">
        <level uniqueName="[sales_data].[Sales_Rep].[(All)]" sourceCaption="(All)" count="0"/>
        <level uniqueName="[sales_data].[Sales_Rep].[Sales_Rep]" sourceCaption="Sales_Rep" count="5">
          <ranges>
            <range startItem="0">
              <i n="[sales_data].[Sales_Rep].&amp;[Alice]" c="Alice"/>
              <i n="[sales_data].[Sales_Rep].&amp;[Bob]" c="Bob"/>
              <i n="[sales_data].[Sales_Rep].&amp;[Charlie]" c="Charlie"/>
              <i n="[sales_data].[Sales_Rep].&amp;[David]" c="David"/>
              <i n="[sales_data].[Sales_Rep].&amp;[Eve]" c="Eve"/>
            </range>
          </ranges>
        </level>
      </levels>
      <selections count="1">
        <selection n="[sales_data].[Sales_Re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CD360E8A-DE7C-40A2-A620-A4FA88B53587}" cache="Slicer_Product_Category" caption="Product Category" level="1" style="SlicerStyleLight2 2" rowHeight="365760"/>
  <slicer name="Region" xr10:uid="{DAD86039-5894-4A0D-A123-913403798899}" cache="Slicer_Region" caption="Region" level="1" style="SlicerStyleLight2 2" rowHeight="365760"/>
  <slicer name="Customer_Type" xr10:uid="{319DA8A0-4D13-423A-BCEF-F2E549D60F0F}" cache="Slicer_Customer_Type" caption="Customer Type" level="1" style="SlicerStyleLight2 2" rowHeight="365760"/>
  <slicer name="Sales_Channel" xr10:uid="{B7AE4346-7BF7-499B-B5D3-3FF5E2E377B7}" cache="Slicer_Sales_Channel" caption="Sales Channel" level="1" style="SlicerStyleLight2 2" rowHeight="365760"/>
  <slicer name="Payment_Method" xr10:uid="{A1FD44CE-BF1F-4246-A592-2354AA0A060A}" cache="Slicer_Payment_Method" caption="Payment Method" level="1" style="SlicerStyleLight2 2" rowHeight="365760"/>
  <slicer name="Sales_Rep" xr10:uid="{550BB7DF-9430-46F8-B61A-36931876FC2A}" cache="Slicer_Sales_Rep" caption="Sales Rep" level="1" style="SlicerStyleLight2 2"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1B9D4-BF98-497C-85A9-0243183B1EC1}" name="sales_data" displayName="sales_data" ref="A1:P1001" tableType="queryTable" totalsRowShown="0">
  <autoFilter ref="A1:P1001" xr:uid="{1E01B9D4-BF98-497C-85A9-0243183B1EC1}"/>
  <sortState xmlns:xlrd2="http://schemas.microsoft.com/office/spreadsheetml/2017/richdata2" ref="A2:P1001">
    <sortCondition descending="1" ref="B1:B1001"/>
  </sortState>
  <tableColumns count="16">
    <tableColumn id="1" xr3:uid="{503FFD63-0E68-445F-AE88-10C391FB94F3}" uniqueName="1" name="Product_ID" queryTableFieldId="1"/>
    <tableColumn id="2" xr3:uid="{645EC562-A68B-48CA-A8F2-222E90C85270}" uniqueName="2" name="Sale_Date" queryTableFieldId="2" dataDxfId="94"/>
    <tableColumn id="3" xr3:uid="{A8160B5C-9DA9-4D1B-84C3-126382046E79}" uniqueName="3" name="Sales_Rep" queryTableFieldId="3" dataDxfId="93"/>
    <tableColumn id="4" xr3:uid="{1DC76C7F-4F1A-45CD-A98D-536EA168CDEB}" uniqueName="4" name="Region" queryTableFieldId="4" dataDxfId="92"/>
    <tableColumn id="5" xr3:uid="{40BFDF4C-556C-4671-9AAA-4E6BAC7885F8}" uniqueName="5" name="Product_Category" queryTableFieldId="5" dataDxfId="91"/>
    <tableColumn id="6" xr3:uid="{C432B1FD-2DBB-49C0-AFB6-9C1E363CD388}" uniqueName="6" name="Customer_Type" queryTableFieldId="6" dataDxfId="90"/>
    <tableColumn id="7" xr3:uid="{15C33339-3C8A-43B9-AEA5-AEA47BB05A86}" uniqueName="7" name="Payment_Method" queryTableFieldId="7" dataDxfId="89"/>
    <tableColumn id="8" xr3:uid="{EEAA67AC-2981-476E-81AA-EEDAC650EFFC}" uniqueName="8" name="Sales_Channel" queryTableFieldId="8" dataDxfId="88"/>
    <tableColumn id="9" xr3:uid="{2F6956BE-0295-47CF-92CC-999071CC8B0D}" uniqueName="9" name="Unit_Cost" queryTableFieldId="9" dataDxfId="87"/>
    <tableColumn id="10" xr3:uid="{05998E13-505F-469A-B349-1C6C60DA3302}" uniqueName="10" name="Unit_Price" queryTableFieldId="10" dataDxfId="86"/>
    <tableColumn id="11" xr3:uid="{A0D69CE0-B60D-466F-82A9-E83E5904CE3C}" uniqueName="11" name="Quantity_Sold" queryTableFieldId="11"/>
    <tableColumn id="12" xr3:uid="{FCABC537-386D-4C70-B87B-6C06AA6D3BE8}" uniqueName="12" name="Discount" queryTableFieldId="12" dataDxfId="85"/>
    <tableColumn id="14" xr3:uid="{86169EF3-2E4D-482A-B7A5-8D044DFB9DE1}" uniqueName="14" name="Total Cost" queryTableFieldId="14" dataDxfId="84"/>
    <tableColumn id="15" xr3:uid="{5D50706A-B242-458D-A345-C12EBD45815E}" uniqueName="15" name="Total Sales " queryTableFieldId="15" dataDxfId="83"/>
    <tableColumn id="16" xr3:uid="{696DF599-5F22-4E33-9A61-FB0E5AD0AE47}" uniqueName="16" name="Total Profit" queryTableFieldId="16" dataDxfId="82"/>
    <tableColumn id="17" xr3:uid="{619E9056-8D82-4FED-BDD7-32C8F52272F8}" uniqueName="17" name="Profit Margin" queryTableFieldId="17" dataDxfId="81"/>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ale_Date" xr10:uid="{EBA673D0-7E09-4EA3-91AC-5FE37211D64E}" sourceName="[sales_data].[Sale_Date]">
  <pivotTables>
    <pivotTable tabId="3" name="PivotTable1"/>
    <pivotTable tabId="3" name="PivotTable2"/>
    <pivotTable tabId="3" name="PivotTable3"/>
    <pivotTable tabId="3" name="PivotTable4"/>
    <pivotTable tabId="3" name="PivotTable5"/>
    <pivotTable tabId="6" name="PivotTable6"/>
  </pivotTables>
  <state minimalRefreshVersion="6" lastRefreshVersion="6" pivotCacheId="1383930246" filterType="dateBetween">
    <selection startDate="2023-01-01T00:00:00" endDate="2024-03-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_Date" xr10:uid="{D92A7AF5-E8FF-44F5-93EC-D127A44C17F2}" cache="Timeline_Sale_Date" caption="Sale Date" showHorizontalScrollbar="0" level="1" selectionLevel="1" scrollPosition="2023-01-01T00:00:00" style="TimeSlicerStyleLight2 2"/>
</timeline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1BBF9-68B6-48FE-9B58-083C02F173DB}">
  <dimension ref="A1:A69"/>
  <sheetViews>
    <sheetView topLeftCell="A31" workbookViewId="0">
      <selection activeCell="A13" sqref="A13"/>
    </sheetView>
  </sheetViews>
  <sheetFormatPr defaultRowHeight="14.4" x14ac:dyDescent="0.3"/>
  <cols>
    <col min="1" max="1" width="158.6640625" bestFit="1" customWidth="1"/>
  </cols>
  <sheetData>
    <row r="1" spans="1:1" ht="31.2" x14ac:dyDescent="0.3">
      <c r="A1" s="17" t="s">
        <v>310</v>
      </c>
    </row>
    <row r="3" spans="1:1" s="19" customFormat="1" ht="23.4" x14ac:dyDescent="0.3">
      <c r="A3" s="19" t="s">
        <v>336</v>
      </c>
    </row>
    <row r="4" spans="1:1" s="23" customFormat="1" x14ac:dyDescent="0.3"/>
    <row r="5" spans="1:1" ht="23.4" x14ac:dyDescent="0.3">
      <c r="A5" s="19" t="s">
        <v>311</v>
      </c>
    </row>
    <row r="6" spans="1:1" s="9" customFormat="1" ht="15.6" x14ac:dyDescent="0.3">
      <c r="A6" s="9" t="s">
        <v>337</v>
      </c>
    </row>
    <row r="7" spans="1:1" s="9" customFormat="1" ht="15.6" x14ac:dyDescent="0.3"/>
    <row r="9" spans="1:1" ht="23.4" x14ac:dyDescent="0.3">
      <c r="A9" s="19" t="s">
        <v>312</v>
      </c>
    </row>
    <row r="10" spans="1:1" x14ac:dyDescent="0.3">
      <c r="A10" s="21"/>
    </row>
    <row r="11" spans="1:1" x14ac:dyDescent="0.3">
      <c r="A11" s="22" t="s">
        <v>313</v>
      </c>
    </row>
    <row r="12" spans="1:1" x14ac:dyDescent="0.3">
      <c r="A12" s="21" t="s">
        <v>347</v>
      </c>
    </row>
    <row r="13" spans="1:1" x14ac:dyDescent="0.3">
      <c r="A13" s="22" t="s">
        <v>314</v>
      </c>
    </row>
    <row r="14" spans="1:1" ht="129.6" x14ac:dyDescent="0.3">
      <c r="A14" s="24" t="s">
        <v>338</v>
      </c>
    </row>
    <row r="17" spans="1:1" ht="23.4" x14ac:dyDescent="0.3">
      <c r="A17" s="19" t="s">
        <v>315</v>
      </c>
    </row>
    <row r="18" spans="1:1" x14ac:dyDescent="0.3">
      <c r="A18" s="21"/>
    </row>
    <row r="19" spans="1:1" x14ac:dyDescent="0.3">
      <c r="A19" s="21" t="s">
        <v>339</v>
      </c>
    </row>
    <row r="20" spans="1:1" x14ac:dyDescent="0.3">
      <c r="A20" s="21" t="s">
        <v>340</v>
      </c>
    </row>
    <row r="21" spans="1:1" x14ac:dyDescent="0.3">
      <c r="A21" s="21" t="s">
        <v>341</v>
      </c>
    </row>
    <row r="22" spans="1:1" x14ac:dyDescent="0.3">
      <c r="A22" s="21" t="s">
        <v>342</v>
      </c>
    </row>
    <row r="23" spans="1:1" x14ac:dyDescent="0.3">
      <c r="A23" s="21" t="s">
        <v>343</v>
      </c>
    </row>
    <row r="24" spans="1:1" x14ac:dyDescent="0.3">
      <c r="A24" s="21" t="s">
        <v>344</v>
      </c>
    </row>
    <row r="25" spans="1:1" x14ac:dyDescent="0.3">
      <c r="A25" s="21" t="s">
        <v>345</v>
      </c>
    </row>
    <row r="28" spans="1:1" ht="23.4" x14ac:dyDescent="0.3">
      <c r="A28" s="19" t="s">
        <v>316</v>
      </c>
    </row>
    <row r="29" spans="1:1" x14ac:dyDescent="0.3">
      <c r="A29" s="21"/>
    </row>
    <row r="30" spans="1:1" x14ac:dyDescent="0.3">
      <c r="A30" s="21" t="s">
        <v>317</v>
      </c>
    </row>
    <row r="31" spans="1:1" x14ac:dyDescent="0.3">
      <c r="A31" s="21"/>
    </row>
    <row r="32" spans="1:1" x14ac:dyDescent="0.3">
      <c r="A32" s="21" t="s">
        <v>318</v>
      </c>
    </row>
    <row r="33" spans="1:1" x14ac:dyDescent="0.3">
      <c r="A33" s="21"/>
    </row>
    <row r="34" spans="1:1" x14ac:dyDescent="0.3">
      <c r="A34" s="21" t="s">
        <v>319</v>
      </c>
    </row>
    <row r="35" spans="1:1" x14ac:dyDescent="0.3">
      <c r="A35" s="21"/>
    </row>
    <row r="36" spans="1:1" x14ac:dyDescent="0.3">
      <c r="A36" s="21" t="s">
        <v>320</v>
      </c>
    </row>
    <row r="37" spans="1:1" x14ac:dyDescent="0.3">
      <c r="A37" s="21"/>
    </row>
    <row r="38" spans="1:1" x14ac:dyDescent="0.3">
      <c r="A38" s="21" t="s">
        <v>321</v>
      </c>
    </row>
    <row r="41" spans="1:1" ht="23.4" x14ac:dyDescent="0.3">
      <c r="A41" s="19" t="s">
        <v>322</v>
      </c>
    </row>
    <row r="42" spans="1:1" x14ac:dyDescent="0.3">
      <c r="A42" s="21"/>
    </row>
    <row r="43" spans="1:1" x14ac:dyDescent="0.3">
      <c r="A43" s="21" t="s">
        <v>323</v>
      </c>
    </row>
    <row r="44" spans="1:1" x14ac:dyDescent="0.3">
      <c r="A44" s="21"/>
    </row>
    <row r="45" spans="1:1" x14ac:dyDescent="0.3">
      <c r="A45" s="21" t="s">
        <v>324</v>
      </c>
    </row>
    <row r="46" spans="1:1" x14ac:dyDescent="0.3">
      <c r="A46" s="21"/>
    </row>
    <row r="47" spans="1:1" x14ac:dyDescent="0.3">
      <c r="A47" s="21" t="s">
        <v>325</v>
      </c>
    </row>
    <row r="48" spans="1:1" x14ac:dyDescent="0.3">
      <c r="A48" s="21"/>
    </row>
    <row r="49" spans="1:1" x14ac:dyDescent="0.3">
      <c r="A49" s="21" t="s">
        <v>326</v>
      </c>
    </row>
    <row r="52" spans="1:1" ht="23.4" x14ac:dyDescent="0.3">
      <c r="A52" s="19" t="s">
        <v>327</v>
      </c>
    </row>
    <row r="53" spans="1:1" x14ac:dyDescent="0.3">
      <c r="A53" s="21"/>
    </row>
    <row r="54" spans="1:1" x14ac:dyDescent="0.3">
      <c r="A54" s="21" t="s">
        <v>328</v>
      </c>
    </row>
    <row r="55" spans="1:1" x14ac:dyDescent="0.3">
      <c r="A55" s="21"/>
    </row>
    <row r="56" spans="1:1" x14ac:dyDescent="0.3">
      <c r="A56" s="21" t="s">
        <v>329</v>
      </c>
    </row>
    <row r="57" spans="1:1" x14ac:dyDescent="0.3">
      <c r="A57" s="21"/>
    </row>
    <row r="58" spans="1:1" x14ac:dyDescent="0.3">
      <c r="A58" s="21" t="s">
        <v>330</v>
      </c>
    </row>
    <row r="59" spans="1:1" x14ac:dyDescent="0.3">
      <c r="A59" s="21"/>
    </row>
    <row r="60" spans="1:1" x14ac:dyDescent="0.3">
      <c r="A60" s="21" t="s">
        <v>331</v>
      </c>
    </row>
    <row r="61" spans="1:1" x14ac:dyDescent="0.3">
      <c r="A61" s="21"/>
    </row>
    <row r="62" spans="1:1" x14ac:dyDescent="0.3">
      <c r="A62" s="21" t="s">
        <v>332</v>
      </c>
    </row>
    <row r="65" spans="1:1" ht="23.4" x14ac:dyDescent="0.3">
      <c r="A65" s="19" t="s">
        <v>333</v>
      </c>
    </row>
    <row r="67" spans="1:1" x14ac:dyDescent="0.3">
      <c r="A67" s="20" t="s">
        <v>346</v>
      </c>
    </row>
    <row r="68" spans="1:1" x14ac:dyDescent="0.3">
      <c r="A68" t="s">
        <v>334</v>
      </c>
    </row>
    <row r="69" spans="1:1" x14ac:dyDescent="0.3">
      <c r="A69" t="s">
        <v>335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30490-62E0-459F-A6ED-BC43F85E46AA}">
  <dimension ref="A1:N1001"/>
  <sheetViews>
    <sheetView workbookViewId="0">
      <selection activeCell="I10" sqref="I10"/>
    </sheetView>
  </sheetViews>
  <sheetFormatPr defaultRowHeight="14.4" x14ac:dyDescent="0.3"/>
  <sheetData>
    <row r="1" spans="1:14" x14ac:dyDescent="0.3">
      <c r="A1" t="s">
        <v>0</v>
      </c>
      <c r="B1" t="s">
        <v>1</v>
      </c>
      <c r="C1" t="s">
        <v>2</v>
      </c>
      <c r="D1" t="s">
        <v>3</v>
      </c>
      <c r="E1" t="s">
        <v>293</v>
      </c>
      <c r="F1" t="s">
        <v>10</v>
      </c>
      <c r="G1" t="s">
        <v>4</v>
      </c>
      <c r="H1" t="s">
        <v>8</v>
      </c>
      <c r="I1" t="s">
        <v>9</v>
      </c>
      <c r="J1" t="s">
        <v>5</v>
      </c>
      <c r="K1" t="s">
        <v>11</v>
      </c>
      <c r="L1" t="s">
        <v>6</v>
      </c>
      <c r="M1" t="s">
        <v>7</v>
      </c>
      <c r="N1" t="s">
        <v>292</v>
      </c>
    </row>
    <row r="2" spans="1:14" x14ac:dyDescent="0.3">
      <c r="A2">
        <v>1052</v>
      </c>
      <c r="B2" s="13">
        <v>44960</v>
      </c>
      <c r="C2" t="s">
        <v>23</v>
      </c>
      <c r="D2" t="s">
        <v>30</v>
      </c>
      <c r="E2">
        <v>5053.97</v>
      </c>
      <c r="F2">
        <v>18</v>
      </c>
      <c r="G2" t="s">
        <v>24</v>
      </c>
      <c r="H2">
        <v>152.75</v>
      </c>
      <c r="I2">
        <v>267.22000000000003</v>
      </c>
      <c r="J2" t="s">
        <v>20</v>
      </c>
      <c r="K2">
        <v>0.09</v>
      </c>
      <c r="L2" t="s">
        <v>16</v>
      </c>
      <c r="M2" t="s">
        <v>29</v>
      </c>
      <c r="N2" t="s">
        <v>60</v>
      </c>
    </row>
    <row r="3" spans="1:14" x14ac:dyDescent="0.3">
      <c r="A3">
        <v>1093</v>
      </c>
      <c r="B3" s="13">
        <v>45037</v>
      </c>
      <c r="C3" t="s">
        <v>23</v>
      </c>
      <c r="D3" t="s">
        <v>19</v>
      </c>
      <c r="E3">
        <v>4384.0200000000004</v>
      </c>
      <c r="F3">
        <v>17</v>
      </c>
      <c r="G3" t="s">
        <v>24</v>
      </c>
      <c r="H3">
        <v>3816.39</v>
      </c>
      <c r="I3">
        <v>4209.4399999999996</v>
      </c>
      <c r="J3" t="s">
        <v>20</v>
      </c>
      <c r="K3">
        <v>0.11</v>
      </c>
      <c r="L3" t="s">
        <v>16</v>
      </c>
      <c r="M3" t="s">
        <v>17</v>
      </c>
      <c r="N3" t="s">
        <v>81</v>
      </c>
    </row>
    <row r="4" spans="1:14" x14ac:dyDescent="0.3">
      <c r="A4">
        <v>1015</v>
      </c>
      <c r="B4" s="13">
        <v>45190</v>
      </c>
      <c r="C4" t="s">
        <v>18</v>
      </c>
      <c r="D4" t="s">
        <v>27</v>
      </c>
      <c r="E4">
        <v>4631.2299999999996</v>
      </c>
      <c r="F4">
        <v>30</v>
      </c>
      <c r="G4" t="s">
        <v>22</v>
      </c>
      <c r="H4">
        <v>261.56</v>
      </c>
      <c r="I4">
        <v>371.4</v>
      </c>
      <c r="J4" t="s">
        <v>20</v>
      </c>
      <c r="K4">
        <v>0.2</v>
      </c>
      <c r="L4" t="s">
        <v>25</v>
      </c>
      <c r="M4" t="s">
        <v>17</v>
      </c>
      <c r="N4" t="s">
        <v>58</v>
      </c>
    </row>
    <row r="5" spans="1:14" x14ac:dyDescent="0.3">
      <c r="A5">
        <v>1072</v>
      </c>
      <c r="B5" s="13">
        <v>45162</v>
      </c>
      <c r="C5" t="s">
        <v>23</v>
      </c>
      <c r="D5" t="s">
        <v>27</v>
      </c>
      <c r="E5">
        <v>2167.94</v>
      </c>
      <c r="F5">
        <v>39</v>
      </c>
      <c r="G5" t="s">
        <v>14</v>
      </c>
      <c r="H5">
        <v>4330.03</v>
      </c>
      <c r="I5">
        <v>4467.75</v>
      </c>
      <c r="J5" t="s">
        <v>15</v>
      </c>
      <c r="K5">
        <v>0.02</v>
      </c>
      <c r="L5" t="s">
        <v>21</v>
      </c>
      <c r="M5" t="s">
        <v>17</v>
      </c>
      <c r="N5" t="s">
        <v>96</v>
      </c>
    </row>
    <row r="6" spans="1:14" x14ac:dyDescent="0.3">
      <c r="A6">
        <v>1061</v>
      </c>
      <c r="B6" s="13">
        <v>45009</v>
      </c>
      <c r="C6" t="s">
        <v>31</v>
      </c>
      <c r="D6" t="s">
        <v>13</v>
      </c>
      <c r="E6">
        <v>3750.2</v>
      </c>
      <c r="F6">
        <v>13</v>
      </c>
      <c r="G6" t="s">
        <v>28</v>
      </c>
      <c r="H6">
        <v>637.37</v>
      </c>
      <c r="I6">
        <v>692.71</v>
      </c>
      <c r="J6" t="s">
        <v>15</v>
      </c>
      <c r="K6">
        <v>0.08</v>
      </c>
      <c r="L6" t="s">
        <v>21</v>
      </c>
      <c r="M6" t="s">
        <v>29</v>
      </c>
      <c r="N6" t="s">
        <v>67</v>
      </c>
    </row>
    <row r="7" spans="1:14" x14ac:dyDescent="0.3">
      <c r="A7">
        <v>1021</v>
      </c>
      <c r="B7" s="13">
        <v>44968</v>
      </c>
      <c r="C7" t="s">
        <v>31</v>
      </c>
      <c r="D7" t="s">
        <v>19</v>
      </c>
      <c r="E7">
        <v>3761.15</v>
      </c>
      <c r="F7">
        <v>32</v>
      </c>
      <c r="G7" t="s">
        <v>22</v>
      </c>
      <c r="H7">
        <v>900.79</v>
      </c>
      <c r="I7">
        <v>1106.51</v>
      </c>
      <c r="J7" t="s">
        <v>15</v>
      </c>
      <c r="K7">
        <v>0.21</v>
      </c>
      <c r="L7" t="s">
        <v>16</v>
      </c>
      <c r="M7" t="s">
        <v>29</v>
      </c>
      <c r="N7" t="s">
        <v>88</v>
      </c>
    </row>
    <row r="8" spans="1:14" x14ac:dyDescent="0.3">
      <c r="A8">
        <v>1083</v>
      </c>
      <c r="B8" s="13">
        <v>45027</v>
      </c>
      <c r="C8" t="s">
        <v>23</v>
      </c>
      <c r="D8" t="s">
        <v>19</v>
      </c>
      <c r="E8">
        <v>618.30999999999995</v>
      </c>
      <c r="F8">
        <v>29</v>
      </c>
      <c r="G8" t="s">
        <v>24</v>
      </c>
      <c r="H8">
        <v>2408.81</v>
      </c>
      <c r="I8">
        <v>2624.09</v>
      </c>
      <c r="J8" t="s">
        <v>20</v>
      </c>
      <c r="K8">
        <v>0.14000000000000001</v>
      </c>
      <c r="L8" t="s">
        <v>16</v>
      </c>
      <c r="M8" t="s">
        <v>29</v>
      </c>
      <c r="N8" t="s">
        <v>81</v>
      </c>
    </row>
    <row r="9" spans="1:14" x14ac:dyDescent="0.3">
      <c r="A9">
        <v>1087</v>
      </c>
      <c r="B9" s="13">
        <v>44932</v>
      </c>
      <c r="C9" t="s">
        <v>12</v>
      </c>
      <c r="D9" t="s">
        <v>27</v>
      </c>
      <c r="E9">
        <v>7698.92</v>
      </c>
      <c r="F9">
        <v>46</v>
      </c>
      <c r="G9" t="s">
        <v>24</v>
      </c>
      <c r="H9">
        <v>3702.51</v>
      </c>
      <c r="I9">
        <v>3964.65</v>
      </c>
      <c r="J9" t="s">
        <v>15</v>
      </c>
      <c r="K9">
        <v>0.12</v>
      </c>
      <c r="L9" t="s">
        <v>25</v>
      </c>
      <c r="M9" t="s">
        <v>29</v>
      </c>
      <c r="N9" t="s">
        <v>100</v>
      </c>
    </row>
    <row r="10" spans="1:14" x14ac:dyDescent="0.3">
      <c r="A10">
        <v>1075</v>
      </c>
      <c r="B10" s="13">
        <v>45106</v>
      </c>
      <c r="C10" t="s">
        <v>18</v>
      </c>
      <c r="D10" t="s">
        <v>27</v>
      </c>
      <c r="E10">
        <v>4223.3900000000003</v>
      </c>
      <c r="F10">
        <v>30</v>
      </c>
      <c r="G10" t="s">
        <v>24</v>
      </c>
      <c r="H10">
        <v>738.06</v>
      </c>
      <c r="I10" s="14" t="s">
        <v>291</v>
      </c>
      <c r="J10" t="s">
        <v>15</v>
      </c>
      <c r="K10">
        <v>0.05</v>
      </c>
      <c r="L10" t="s">
        <v>25</v>
      </c>
      <c r="M10" t="s">
        <v>29</v>
      </c>
      <c r="N10" t="s">
        <v>58</v>
      </c>
    </row>
    <row r="11" spans="1:14" x14ac:dyDescent="0.3">
      <c r="A11">
        <v>1075</v>
      </c>
      <c r="B11" s="13">
        <v>45208</v>
      </c>
      <c r="C11" t="s">
        <v>31</v>
      </c>
      <c r="D11" t="s">
        <v>19</v>
      </c>
      <c r="E11">
        <v>8239.58</v>
      </c>
      <c r="F11">
        <v>18</v>
      </c>
      <c r="G11" t="s">
        <v>14</v>
      </c>
      <c r="H11">
        <v>2228.35</v>
      </c>
      <c r="I11">
        <v>2682.34</v>
      </c>
      <c r="J11" t="s">
        <v>15</v>
      </c>
      <c r="K11">
        <v>0.13</v>
      </c>
      <c r="L11" t="s">
        <v>25</v>
      </c>
      <c r="M11" t="s">
        <v>29</v>
      </c>
      <c r="N11" t="s">
        <v>88</v>
      </c>
    </row>
    <row r="12" spans="1:14" x14ac:dyDescent="0.3">
      <c r="A12">
        <v>1088</v>
      </c>
      <c r="B12" s="13">
        <v>45246</v>
      </c>
      <c r="C12" t="s">
        <v>12</v>
      </c>
      <c r="D12" t="s">
        <v>30</v>
      </c>
      <c r="E12">
        <v>8518.4500000000007</v>
      </c>
      <c r="F12">
        <v>13</v>
      </c>
      <c r="G12" t="s">
        <v>24</v>
      </c>
      <c r="H12">
        <v>2440.11</v>
      </c>
      <c r="I12">
        <v>2517.6</v>
      </c>
      <c r="J12" t="s">
        <v>15</v>
      </c>
      <c r="K12">
        <v>0.23</v>
      </c>
      <c r="L12" t="s">
        <v>25</v>
      </c>
      <c r="M12" t="s">
        <v>17</v>
      </c>
      <c r="N12" t="s">
        <v>72</v>
      </c>
    </row>
    <row r="13" spans="1:14" x14ac:dyDescent="0.3">
      <c r="A13">
        <v>1100</v>
      </c>
      <c r="B13" s="13">
        <v>45152</v>
      </c>
      <c r="C13" t="s">
        <v>23</v>
      </c>
      <c r="D13" t="s">
        <v>19</v>
      </c>
      <c r="E13">
        <v>2198.7399999999998</v>
      </c>
      <c r="F13">
        <v>43</v>
      </c>
      <c r="G13" t="s">
        <v>22</v>
      </c>
      <c r="H13">
        <v>1100.81</v>
      </c>
      <c r="I13">
        <v>1137.44</v>
      </c>
      <c r="J13" t="s">
        <v>20</v>
      </c>
      <c r="K13">
        <v>0.08</v>
      </c>
      <c r="L13" t="s">
        <v>25</v>
      </c>
      <c r="M13" t="s">
        <v>29</v>
      </c>
      <c r="N13" t="s">
        <v>81</v>
      </c>
    </row>
    <row r="14" spans="1:14" x14ac:dyDescent="0.3">
      <c r="A14">
        <v>1024</v>
      </c>
      <c r="B14" s="13">
        <v>45241</v>
      </c>
      <c r="C14" t="s">
        <v>12</v>
      </c>
      <c r="D14" t="s">
        <v>19</v>
      </c>
      <c r="E14">
        <v>6607.8</v>
      </c>
      <c r="F14">
        <v>21</v>
      </c>
      <c r="G14" t="s">
        <v>22</v>
      </c>
      <c r="H14">
        <v>622.01</v>
      </c>
      <c r="I14">
        <v>641.09</v>
      </c>
      <c r="J14" t="s">
        <v>20</v>
      </c>
      <c r="K14">
        <v>0</v>
      </c>
      <c r="L14" t="s">
        <v>25</v>
      </c>
      <c r="M14" t="s">
        <v>17</v>
      </c>
      <c r="N14" t="s">
        <v>74</v>
      </c>
    </row>
    <row r="15" spans="1:14" x14ac:dyDescent="0.3">
      <c r="A15">
        <v>1003</v>
      </c>
      <c r="B15" s="13">
        <v>45291</v>
      </c>
      <c r="C15" t="s">
        <v>26</v>
      </c>
      <c r="D15" t="s">
        <v>27</v>
      </c>
      <c r="E15">
        <v>4775.59</v>
      </c>
      <c r="F15">
        <v>30</v>
      </c>
      <c r="G15" t="s">
        <v>24</v>
      </c>
      <c r="H15">
        <v>4190.28</v>
      </c>
      <c r="I15">
        <v>4270.6499999999996</v>
      </c>
      <c r="J15" t="s">
        <v>15</v>
      </c>
      <c r="K15">
        <v>0.2</v>
      </c>
      <c r="L15" t="s">
        <v>16</v>
      </c>
      <c r="M15" t="s">
        <v>29</v>
      </c>
      <c r="N15" t="s">
        <v>63</v>
      </c>
    </row>
    <row r="16" spans="1:14" x14ac:dyDescent="0.3">
      <c r="A16">
        <v>1022</v>
      </c>
      <c r="B16" s="13">
        <v>45155</v>
      </c>
      <c r="C16" t="s">
        <v>31</v>
      </c>
      <c r="D16" t="s">
        <v>27</v>
      </c>
      <c r="E16">
        <v>8813.5499999999993</v>
      </c>
      <c r="F16">
        <v>21</v>
      </c>
      <c r="G16" t="s">
        <v>22</v>
      </c>
      <c r="H16">
        <v>2537.1999999999998</v>
      </c>
      <c r="I16">
        <v>2869.6</v>
      </c>
      <c r="J16" t="s">
        <v>15</v>
      </c>
      <c r="K16">
        <v>0.28999999999999998</v>
      </c>
      <c r="L16" t="s">
        <v>25</v>
      </c>
      <c r="M16" t="s">
        <v>17</v>
      </c>
      <c r="N16" t="s">
        <v>86</v>
      </c>
    </row>
    <row r="17" spans="1:14" x14ac:dyDescent="0.3">
      <c r="A17">
        <v>1053</v>
      </c>
      <c r="B17" s="13">
        <v>45215</v>
      </c>
      <c r="C17" t="s">
        <v>23</v>
      </c>
      <c r="D17" t="s">
        <v>30</v>
      </c>
      <c r="E17">
        <v>2235.83</v>
      </c>
      <c r="F17">
        <v>48</v>
      </c>
      <c r="G17" t="s">
        <v>24</v>
      </c>
      <c r="H17">
        <v>121.19</v>
      </c>
      <c r="I17">
        <v>487.65</v>
      </c>
      <c r="J17" t="s">
        <v>15</v>
      </c>
      <c r="K17">
        <v>0.18</v>
      </c>
      <c r="L17" t="s">
        <v>16</v>
      </c>
      <c r="M17" t="s">
        <v>17</v>
      </c>
      <c r="N17" t="s">
        <v>60</v>
      </c>
    </row>
    <row r="18" spans="1:14" x14ac:dyDescent="0.3">
      <c r="A18">
        <v>1002</v>
      </c>
      <c r="B18" s="13">
        <v>45076</v>
      </c>
      <c r="C18" t="s">
        <v>18</v>
      </c>
      <c r="D18" t="s">
        <v>30</v>
      </c>
      <c r="E18">
        <v>6810.35</v>
      </c>
      <c r="F18">
        <v>17</v>
      </c>
      <c r="G18" t="s">
        <v>24</v>
      </c>
      <c r="H18">
        <v>4024.76</v>
      </c>
      <c r="I18" s="14" t="s">
        <v>290</v>
      </c>
      <c r="J18" t="s">
        <v>20</v>
      </c>
      <c r="K18">
        <v>0.04</v>
      </c>
      <c r="L18" t="s">
        <v>16</v>
      </c>
      <c r="M18" t="s">
        <v>29</v>
      </c>
      <c r="N18" t="s">
        <v>64</v>
      </c>
    </row>
    <row r="19" spans="1:14" x14ac:dyDescent="0.3">
      <c r="A19">
        <v>1088</v>
      </c>
      <c r="B19" s="13">
        <v>45203</v>
      </c>
      <c r="C19" t="s">
        <v>23</v>
      </c>
      <c r="D19" t="s">
        <v>13</v>
      </c>
      <c r="E19">
        <v>6116.75</v>
      </c>
      <c r="F19">
        <v>40</v>
      </c>
      <c r="G19" t="s">
        <v>28</v>
      </c>
      <c r="H19">
        <v>4904.93</v>
      </c>
      <c r="I19">
        <v>5034.3500000000004</v>
      </c>
      <c r="J19" t="s">
        <v>15</v>
      </c>
      <c r="K19">
        <v>0.1</v>
      </c>
      <c r="L19" t="s">
        <v>21</v>
      </c>
      <c r="M19" t="s">
        <v>17</v>
      </c>
      <c r="N19" t="s">
        <v>69</v>
      </c>
    </row>
    <row r="20" spans="1:14" x14ac:dyDescent="0.3">
      <c r="A20">
        <v>1030</v>
      </c>
      <c r="B20" s="13">
        <v>45124</v>
      </c>
      <c r="C20" t="s">
        <v>18</v>
      </c>
      <c r="D20" t="s">
        <v>19</v>
      </c>
      <c r="E20">
        <v>3023.48</v>
      </c>
      <c r="F20">
        <v>19</v>
      </c>
      <c r="G20" t="s">
        <v>14</v>
      </c>
      <c r="H20">
        <v>3049.33</v>
      </c>
      <c r="I20">
        <v>3209.22</v>
      </c>
      <c r="J20" t="s">
        <v>20</v>
      </c>
      <c r="K20">
        <v>0.26</v>
      </c>
      <c r="L20" t="s">
        <v>16</v>
      </c>
      <c r="M20" t="s">
        <v>29</v>
      </c>
      <c r="N20" t="s">
        <v>56</v>
      </c>
    </row>
    <row r="21" spans="1:14" x14ac:dyDescent="0.3">
      <c r="A21">
        <v>1038</v>
      </c>
      <c r="B21" s="13">
        <v>44996</v>
      </c>
      <c r="C21" t="s">
        <v>23</v>
      </c>
      <c r="D21" t="s">
        <v>27</v>
      </c>
      <c r="E21">
        <v>1452.35</v>
      </c>
      <c r="F21">
        <v>15</v>
      </c>
      <c r="G21" t="s">
        <v>14</v>
      </c>
      <c r="H21">
        <v>2543.36</v>
      </c>
      <c r="I21" s="14" t="s">
        <v>289</v>
      </c>
      <c r="J21" t="s">
        <v>20</v>
      </c>
      <c r="K21">
        <v>7.0000000000000007E-2</v>
      </c>
      <c r="L21" t="s">
        <v>16</v>
      </c>
      <c r="M21" t="s">
        <v>29</v>
      </c>
      <c r="N21" t="s">
        <v>96</v>
      </c>
    </row>
    <row r="22" spans="1:14" x14ac:dyDescent="0.3">
      <c r="A22">
        <v>1002</v>
      </c>
      <c r="B22" s="13">
        <v>45038</v>
      </c>
      <c r="C22" t="s">
        <v>12</v>
      </c>
      <c r="D22" t="s">
        <v>30</v>
      </c>
      <c r="E22">
        <v>6551.23</v>
      </c>
      <c r="F22">
        <v>9</v>
      </c>
      <c r="G22" t="s">
        <v>28</v>
      </c>
      <c r="H22">
        <v>4398.16</v>
      </c>
      <c r="I22">
        <v>4439.12</v>
      </c>
      <c r="J22" t="s">
        <v>15</v>
      </c>
      <c r="K22">
        <v>0.18</v>
      </c>
      <c r="L22" t="s">
        <v>25</v>
      </c>
      <c r="M22" t="s">
        <v>29</v>
      </c>
      <c r="N22" t="s">
        <v>72</v>
      </c>
    </row>
    <row r="23" spans="1:14" x14ac:dyDescent="0.3">
      <c r="A23">
        <v>1064</v>
      </c>
      <c r="B23" s="13">
        <v>44930</v>
      </c>
      <c r="C23" t="s">
        <v>12</v>
      </c>
      <c r="D23" t="s">
        <v>13</v>
      </c>
      <c r="E23">
        <v>7412.11</v>
      </c>
      <c r="F23">
        <v>10</v>
      </c>
      <c r="G23" t="s">
        <v>28</v>
      </c>
      <c r="H23">
        <v>4764.96</v>
      </c>
      <c r="I23">
        <v>5074.42</v>
      </c>
      <c r="J23" t="s">
        <v>15</v>
      </c>
      <c r="K23">
        <v>0.12</v>
      </c>
      <c r="L23" t="s">
        <v>16</v>
      </c>
      <c r="M23" t="s">
        <v>29</v>
      </c>
      <c r="N23" t="s">
        <v>83</v>
      </c>
    </row>
    <row r="24" spans="1:14" x14ac:dyDescent="0.3">
      <c r="A24">
        <v>1060</v>
      </c>
      <c r="B24" s="13">
        <v>45276</v>
      </c>
      <c r="C24" t="s">
        <v>12</v>
      </c>
      <c r="D24" t="s">
        <v>13</v>
      </c>
      <c r="E24">
        <v>3224.71</v>
      </c>
      <c r="F24">
        <v>44</v>
      </c>
      <c r="G24" t="s">
        <v>14</v>
      </c>
      <c r="H24">
        <v>3784.96</v>
      </c>
      <c r="I24">
        <v>4276.99</v>
      </c>
      <c r="J24" t="s">
        <v>15</v>
      </c>
      <c r="K24">
        <v>0.06</v>
      </c>
      <c r="L24" t="s">
        <v>25</v>
      </c>
      <c r="M24" t="s">
        <v>17</v>
      </c>
      <c r="N24" t="s">
        <v>83</v>
      </c>
    </row>
    <row r="25" spans="1:14" x14ac:dyDescent="0.3">
      <c r="A25">
        <v>1021</v>
      </c>
      <c r="B25" s="13">
        <v>45257</v>
      </c>
      <c r="C25" t="s">
        <v>26</v>
      </c>
      <c r="D25" t="s">
        <v>27</v>
      </c>
      <c r="E25">
        <v>6483.84</v>
      </c>
      <c r="F25">
        <v>31</v>
      </c>
      <c r="G25" t="s">
        <v>24</v>
      </c>
      <c r="H25">
        <v>2254.9899999999998</v>
      </c>
      <c r="I25">
        <v>2441.79</v>
      </c>
      <c r="J25" t="s">
        <v>20</v>
      </c>
      <c r="K25">
        <v>0.24</v>
      </c>
      <c r="L25" t="s">
        <v>25</v>
      </c>
      <c r="M25" t="s">
        <v>29</v>
      </c>
      <c r="N25" t="s">
        <v>63</v>
      </c>
    </row>
    <row r="26" spans="1:14" x14ac:dyDescent="0.3">
      <c r="A26">
        <v>1033</v>
      </c>
      <c r="B26" s="13">
        <v>45244</v>
      </c>
      <c r="C26" t="s">
        <v>18</v>
      </c>
      <c r="D26" t="s">
        <v>27</v>
      </c>
      <c r="E26">
        <v>4011.8</v>
      </c>
      <c r="F26">
        <v>23</v>
      </c>
      <c r="G26" t="s">
        <v>24</v>
      </c>
      <c r="H26">
        <v>2981.5</v>
      </c>
      <c r="I26">
        <v>3360.4</v>
      </c>
      <c r="J26" t="s">
        <v>20</v>
      </c>
      <c r="K26">
        <v>0.22</v>
      </c>
      <c r="L26" t="s">
        <v>25</v>
      </c>
      <c r="M26" t="s">
        <v>17</v>
      </c>
      <c r="N26" t="s">
        <v>58</v>
      </c>
    </row>
    <row r="27" spans="1:14" x14ac:dyDescent="0.3">
      <c r="A27">
        <v>1076</v>
      </c>
      <c r="B27" s="13">
        <v>45276</v>
      </c>
      <c r="C27" t="s">
        <v>12</v>
      </c>
      <c r="D27" t="s">
        <v>13</v>
      </c>
      <c r="E27">
        <v>7160.75</v>
      </c>
      <c r="F27">
        <v>30</v>
      </c>
      <c r="G27" t="s">
        <v>14</v>
      </c>
      <c r="H27">
        <v>3519.63</v>
      </c>
      <c r="I27">
        <v>3774.65</v>
      </c>
      <c r="J27" t="s">
        <v>15</v>
      </c>
      <c r="K27">
        <v>0.2</v>
      </c>
      <c r="L27" t="s">
        <v>21</v>
      </c>
      <c r="M27" t="s">
        <v>17</v>
      </c>
      <c r="N27" t="s">
        <v>83</v>
      </c>
    </row>
    <row r="28" spans="1:14" x14ac:dyDescent="0.3">
      <c r="A28">
        <v>1058</v>
      </c>
      <c r="B28" s="13">
        <v>45021</v>
      </c>
      <c r="C28" t="s">
        <v>26</v>
      </c>
      <c r="D28" t="s">
        <v>30</v>
      </c>
      <c r="E28">
        <v>2072.23</v>
      </c>
      <c r="F28">
        <v>33</v>
      </c>
      <c r="G28" t="s">
        <v>24</v>
      </c>
      <c r="H28">
        <v>1011.65</v>
      </c>
      <c r="I28">
        <v>1084.28</v>
      </c>
      <c r="J28" t="s">
        <v>20</v>
      </c>
      <c r="K28">
        <v>7.0000000000000007E-2</v>
      </c>
      <c r="L28" t="s">
        <v>25</v>
      </c>
      <c r="M28" t="s">
        <v>17</v>
      </c>
      <c r="N28" t="s">
        <v>71</v>
      </c>
    </row>
    <row r="29" spans="1:14" x14ac:dyDescent="0.3">
      <c r="A29">
        <v>1022</v>
      </c>
      <c r="B29" s="13">
        <v>45078</v>
      </c>
      <c r="C29" t="s">
        <v>18</v>
      </c>
      <c r="D29" t="s">
        <v>13</v>
      </c>
      <c r="E29">
        <v>8913.1299999999992</v>
      </c>
      <c r="F29">
        <v>9</v>
      </c>
      <c r="G29" t="s">
        <v>28</v>
      </c>
      <c r="H29">
        <v>2263.65</v>
      </c>
      <c r="I29" s="14" t="s">
        <v>288</v>
      </c>
      <c r="J29" t="s">
        <v>15</v>
      </c>
      <c r="K29">
        <v>0.03</v>
      </c>
      <c r="L29" t="s">
        <v>16</v>
      </c>
      <c r="M29" t="s">
        <v>29</v>
      </c>
      <c r="N29" t="s">
        <v>80</v>
      </c>
    </row>
    <row r="30" spans="1:14" x14ac:dyDescent="0.3">
      <c r="A30">
        <v>1089</v>
      </c>
      <c r="B30" s="13">
        <v>45237</v>
      </c>
      <c r="C30" t="s">
        <v>23</v>
      </c>
      <c r="D30" t="s">
        <v>19</v>
      </c>
      <c r="E30">
        <v>2945.36</v>
      </c>
      <c r="F30">
        <v>47</v>
      </c>
      <c r="G30" t="s">
        <v>24</v>
      </c>
      <c r="H30">
        <v>4157.62</v>
      </c>
      <c r="I30" s="14" t="s">
        <v>287</v>
      </c>
      <c r="J30" t="s">
        <v>15</v>
      </c>
      <c r="K30">
        <v>0.17</v>
      </c>
      <c r="L30" t="s">
        <v>25</v>
      </c>
      <c r="M30" t="s">
        <v>17</v>
      </c>
      <c r="N30" t="s">
        <v>81</v>
      </c>
    </row>
    <row r="31" spans="1:14" x14ac:dyDescent="0.3">
      <c r="A31">
        <v>1049</v>
      </c>
      <c r="B31" s="13">
        <v>45063</v>
      </c>
      <c r="C31" t="s">
        <v>26</v>
      </c>
      <c r="D31" t="s">
        <v>19</v>
      </c>
      <c r="E31">
        <v>3741.08</v>
      </c>
      <c r="F31">
        <v>1</v>
      </c>
      <c r="G31" t="s">
        <v>24</v>
      </c>
      <c r="H31">
        <v>3290.89</v>
      </c>
      <c r="I31">
        <v>3317.75</v>
      </c>
      <c r="J31" t="s">
        <v>20</v>
      </c>
      <c r="K31">
        <v>0.17</v>
      </c>
      <c r="L31" t="s">
        <v>25</v>
      </c>
      <c r="M31" t="s">
        <v>29</v>
      </c>
      <c r="N31" t="s">
        <v>76</v>
      </c>
    </row>
    <row r="32" spans="1:14" x14ac:dyDescent="0.3">
      <c r="A32">
        <v>1091</v>
      </c>
      <c r="B32" s="13">
        <v>45173</v>
      </c>
      <c r="C32" t="s">
        <v>31</v>
      </c>
      <c r="D32" t="s">
        <v>27</v>
      </c>
      <c r="E32">
        <v>675.11</v>
      </c>
      <c r="F32">
        <v>44</v>
      </c>
      <c r="G32" t="s">
        <v>22</v>
      </c>
      <c r="H32">
        <v>2085.46</v>
      </c>
      <c r="I32">
        <v>2406.58</v>
      </c>
      <c r="J32" t="s">
        <v>20</v>
      </c>
      <c r="K32">
        <v>0.06</v>
      </c>
      <c r="L32" t="s">
        <v>25</v>
      </c>
      <c r="M32" t="s">
        <v>17</v>
      </c>
      <c r="N32" t="s">
        <v>86</v>
      </c>
    </row>
    <row r="33" spans="1:14" x14ac:dyDescent="0.3">
      <c r="A33">
        <v>1059</v>
      </c>
      <c r="B33" s="13">
        <v>45169</v>
      </c>
      <c r="C33" t="s">
        <v>26</v>
      </c>
      <c r="D33" t="s">
        <v>30</v>
      </c>
      <c r="E33">
        <v>1203.97</v>
      </c>
      <c r="F33">
        <v>35</v>
      </c>
      <c r="G33" t="s">
        <v>22</v>
      </c>
      <c r="H33">
        <v>3333.64</v>
      </c>
      <c r="I33">
        <v>3764.52</v>
      </c>
      <c r="J33" t="s">
        <v>20</v>
      </c>
      <c r="K33">
        <v>0.02</v>
      </c>
      <c r="L33" t="s">
        <v>21</v>
      </c>
      <c r="M33" t="s">
        <v>29</v>
      </c>
      <c r="N33" t="s">
        <v>71</v>
      </c>
    </row>
    <row r="34" spans="1:14" x14ac:dyDescent="0.3">
      <c r="A34">
        <v>1042</v>
      </c>
      <c r="B34" s="13">
        <v>44957</v>
      </c>
      <c r="C34" t="s">
        <v>26</v>
      </c>
      <c r="D34" t="s">
        <v>30</v>
      </c>
      <c r="E34">
        <v>5207.03</v>
      </c>
      <c r="F34">
        <v>11</v>
      </c>
      <c r="G34" t="s">
        <v>22</v>
      </c>
      <c r="H34">
        <v>635.20000000000005</v>
      </c>
      <c r="I34" s="14" t="s">
        <v>286</v>
      </c>
      <c r="J34" t="s">
        <v>20</v>
      </c>
      <c r="K34">
        <v>0.02</v>
      </c>
      <c r="L34" t="s">
        <v>16</v>
      </c>
      <c r="M34" t="s">
        <v>29</v>
      </c>
      <c r="N34" t="s">
        <v>71</v>
      </c>
    </row>
    <row r="35" spans="1:14" x14ac:dyDescent="0.3">
      <c r="A35">
        <v>1092</v>
      </c>
      <c r="B35" s="13">
        <v>44966</v>
      </c>
      <c r="C35" t="s">
        <v>18</v>
      </c>
      <c r="D35" t="s">
        <v>19</v>
      </c>
      <c r="E35">
        <v>2749.17</v>
      </c>
      <c r="F35">
        <v>34</v>
      </c>
      <c r="G35" t="s">
        <v>24</v>
      </c>
      <c r="H35">
        <v>2037.41</v>
      </c>
      <c r="I35">
        <v>2238.65</v>
      </c>
      <c r="J35" t="s">
        <v>15</v>
      </c>
      <c r="K35">
        <v>0.3</v>
      </c>
      <c r="L35" t="s">
        <v>21</v>
      </c>
      <c r="M35" t="s">
        <v>29</v>
      </c>
      <c r="N35" t="s">
        <v>56</v>
      </c>
    </row>
    <row r="36" spans="1:14" x14ac:dyDescent="0.3">
      <c r="A36">
        <v>1060</v>
      </c>
      <c r="B36" s="13">
        <v>45155</v>
      </c>
      <c r="C36" t="s">
        <v>23</v>
      </c>
      <c r="D36" t="s">
        <v>13</v>
      </c>
      <c r="E36">
        <v>8371.25</v>
      </c>
      <c r="F36">
        <v>16</v>
      </c>
      <c r="G36" t="s">
        <v>14</v>
      </c>
      <c r="H36">
        <v>3975.99</v>
      </c>
      <c r="I36">
        <v>4422.59</v>
      </c>
      <c r="J36" t="s">
        <v>15</v>
      </c>
      <c r="K36">
        <v>0.24</v>
      </c>
      <c r="L36" t="s">
        <v>16</v>
      </c>
      <c r="M36" t="s">
        <v>29</v>
      </c>
      <c r="N36" t="s">
        <v>69</v>
      </c>
    </row>
    <row r="37" spans="1:14" x14ac:dyDescent="0.3">
      <c r="A37">
        <v>1080</v>
      </c>
      <c r="B37" s="13">
        <v>44962</v>
      </c>
      <c r="C37" t="s">
        <v>31</v>
      </c>
      <c r="D37" t="s">
        <v>27</v>
      </c>
      <c r="E37">
        <v>245.46</v>
      </c>
      <c r="F37">
        <v>9</v>
      </c>
      <c r="G37" t="s">
        <v>28</v>
      </c>
      <c r="H37">
        <v>1141.52</v>
      </c>
      <c r="I37">
        <v>1550.19</v>
      </c>
      <c r="J37" t="s">
        <v>15</v>
      </c>
      <c r="K37">
        <v>0.28000000000000003</v>
      </c>
      <c r="L37" t="s">
        <v>21</v>
      </c>
      <c r="M37" t="s">
        <v>17</v>
      </c>
      <c r="N37" t="s">
        <v>86</v>
      </c>
    </row>
    <row r="38" spans="1:14" x14ac:dyDescent="0.3">
      <c r="A38">
        <v>1015</v>
      </c>
      <c r="B38" s="13">
        <v>45149</v>
      </c>
      <c r="C38" t="s">
        <v>12</v>
      </c>
      <c r="D38" t="s">
        <v>13</v>
      </c>
      <c r="E38">
        <v>3853.03</v>
      </c>
      <c r="F38">
        <v>32</v>
      </c>
      <c r="G38" t="s">
        <v>24</v>
      </c>
      <c r="H38">
        <v>970.51</v>
      </c>
      <c r="I38">
        <v>1330.84</v>
      </c>
      <c r="J38" t="s">
        <v>20</v>
      </c>
      <c r="K38">
        <v>0.06</v>
      </c>
      <c r="L38" t="s">
        <v>16</v>
      </c>
      <c r="M38" t="s">
        <v>17</v>
      </c>
      <c r="N38" t="s">
        <v>83</v>
      </c>
    </row>
    <row r="39" spans="1:14" x14ac:dyDescent="0.3">
      <c r="A39">
        <v>1062</v>
      </c>
      <c r="B39" s="13">
        <v>44932</v>
      </c>
      <c r="C39" t="s">
        <v>12</v>
      </c>
      <c r="D39" t="s">
        <v>13</v>
      </c>
      <c r="E39">
        <v>3439.72</v>
      </c>
      <c r="F39">
        <v>15</v>
      </c>
      <c r="G39" t="s">
        <v>14</v>
      </c>
      <c r="H39">
        <v>4756.55</v>
      </c>
      <c r="I39">
        <v>4888.46</v>
      </c>
      <c r="J39" t="s">
        <v>15</v>
      </c>
      <c r="K39">
        <v>0.28999999999999998</v>
      </c>
      <c r="L39" t="s">
        <v>21</v>
      </c>
      <c r="M39" t="s">
        <v>29</v>
      </c>
      <c r="N39" t="s">
        <v>83</v>
      </c>
    </row>
    <row r="40" spans="1:14" x14ac:dyDescent="0.3">
      <c r="A40">
        <v>1062</v>
      </c>
      <c r="B40" s="13">
        <v>45248</v>
      </c>
      <c r="C40" t="s">
        <v>26</v>
      </c>
      <c r="D40" t="s">
        <v>13</v>
      </c>
      <c r="E40">
        <v>291.33999999999997</v>
      </c>
      <c r="F40">
        <v>12</v>
      </c>
      <c r="G40" t="s">
        <v>24</v>
      </c>
      <c r="H40">
        <v>1088.99</v>
      </c>
      <c r="I40">
        <v>1545</v>
      </c>
      <c r="J40" t="s">
        <v>20</v>
      </c>
      <c r="K40">
        <v>0.04</v>
      </c>
      <c r="L40" t="s">
        <v>25</v>
      </c>
      <c r="M40" t="s">
        <v>17</v>
      </c>
      <c r="N40" t="s">
        <v>55</v>
      </c>
    </row>
    <row r="41" spans="1:14" x14ac:dyDescent="0.3">
      <c r="A41">
        <v>1047</v>
      </c>
      <c r="B41" s="13">
        <v>45146</v>
      </c>
      <c r="C41" t="s">
        <v>18</v>
      </c>
      <c r="D41" t="s">
        <v>30</v>
      </c>
      <c r="E41">
        <v>1331.25</v>
      </c>
      <c r="F41">
        <v>33</v>
      </c>
      <c r="G41" t="s">
        <v>28</v>
      </c>
      <c r="H41">
        <v>1341.55</v>
      </c>
      <c r="I41">
        <v>1427.21</v>
      </c>
      <c r="J41" t="s">
        <v>20</v>
      </c>
      <c r="K41">
        <v>0.15</v>
      </c>
      <c r="L41" t="s">
        <v>21</v>
      </c>
      <c r="M41" t="s">
        <v>29</v>
      </c>
      <c r="N41" t="s">
        <v>64</v>
      </c>
    </row>
    <row r="42" spans="1:14" x14ac:dyDescent="0.3">
      <c r="A42">
        <v>1062</v>
      </c>
      <c r="B42" s="13">
        <v>45001</v>
      </c>
      <c r="C42" t="s">
        <v>18</v>
      </c>
      <c r="D42" t="s">
        <v>19</v>
      </c>
      <c r="E42">
        <v>4195.0600000000004</v>
      </c>
      <c r="F42">
        <v>45</v>
      </c>
      <c r="G42" t="s">
        <v>24</v>
      </c>
      <c r="H42">
        <v>4849.6000000000004</v>
      </c>
      <c r="I42">
        <v>5166.72</v>
      </c>
      <c r="J42" t="s">
        <v>20</v>
      </c>
      <c r="K42">
        <v>0.25</v>
      </c>
      <c r="L42" t="s">
        <v>21</v>
      </c>
      <c r="M42" t="s">
        <v>29</v>
      </c>
      <c r="N42" t="s">
        <v>56</v>
      </c>
    </row>
    <row r="43" spans="1:14" x14ac:dyDescent="0.3">
      <c r="A43">
        <v>1051</v>
      </c>
      <c r="B43" s="13">
        <v>44930</v>
      </c>
      <c r="C43" t="s">
        <v>12</v>
      </c>
      <c r="D43" t="s">
        <v>30</v>
      </c>
      <c r="E43">
        <v>4979.3599999999997</v>
      </c>
      <c r="F43">
        <v>14</v>
      </c>
      <c r="G43" t="s">
        <v>28</v>
      </c>
      <c r="H43">
        <v>3686.81</v>
      </c>
      <c r="I43">
        <v>3710.92</v>
      </c>
      <c r="J43" t="s">
        <v>15</v>
      </c>
      <c r="K43">
        <v>0.1</v>
      </c>
      <c r="L43" t="s">
        <v>25</v>
      </c>
      <c r="M43" t="s">
        <v>17</v>
      </c>
      <c r="N43" t="s">
        <v>72</v>
      </c>
    </row>
    <row r="44" spans="1:14" x14ac:dyDescent="0.3">
      <c r="A44">
        <v>1055</v>
      </c>
      <c r="B44" s="13">
        <v>45261</v>
      </c>
      <c r="C44" t="s">
        <v>31</v>
      </c>
      <c r="D44" t="s">
        <v>19</v>
      </c>
      <c r="E44">
        <v>4102.47</v>
      </c>
      <c r="F44">
        <v>8</v>
      </c>
      <c r="G44" t="s">
        <v>24</v>
      </c>
      <c r="H44">
        <v>3513</v>
      </c>
      <c r="I44">
        <v>3838.42</v>
      </c>
      <c r="J44" t="s">
        <v>20</v>
      </c>
      <c r="K44">
        <v>0.13</v>
      </c>
      <c r="L44" t="s">
        <v>25</v>
      </c>
      <c r="M44" t="s">
        <v>29</v>
      </c>
      <c r="N44" t="s">
        <v>88</v>
      </c>
    </row>
    <row r="45" spans="1:14" x14ac:dyDescent="0.3">
      <c r="A45">
        <v>1064</v>
      </c>
      <c r="B45" s="13">
        <v>45060</v>
      </c>
      <c r="C45" t="s">
        <v>23</v>
      </c>
      <c r="D45" t="s">
        <v>27</v>
      </c>
      <c r="E45">
        <v>5356.28</v>
      </c>
      <c r="F45">
        <v>8</v>
      </c>
      <c r="G45" t="s">
        <v>28</v>
      </c>
      <c r="H45">
        <v>4271.99</v>
      </c>
      <c r="I45">
        <v>4417.79</v>
      </c>
      <c r="J45" t="s">
        <v>20</v>
      </c>
      <c r="K45">
        <v>0.04</v>
      </c>
      <c r="L45" t="s">
        <v>16</v>
      </c>
      <c r="M45" t="s">
        <v>29</v>
      </c>
      <c r="N45" t="s">
        <v>96</v>
      </c>
    </row>
    <row r="46" spans="1:14" x14ac:dyDescent="0.3">
      <c r="A46">
        <v>1003</v>
      </c>
      <c r="B46" s="13">
        <v>45044</v>
      </c>
      <c r="C46" t="s">
        <v>31</v>
      </c>
      <c r="D46" t="s">
        <v>27</v>
      </c>
      <c r="E46">
        <v>5991.8</v>
      </c>
      <c r="F46">
        <v>27</v>
      </c>
      <c r="G46" t="s">
        <v>24</v>
      </c>
      <c r="H46">
        <v>623.32000000000005</v>
      </c>
      <c r="I46" s="14" t="s">
        <v>285</v>
      </c>
      <c r="J46" t="s">
        <v>20</v>
      </c>
      <c r="K46">
        <v>0.04</v>
      </c>
      <c r="L46" t="s">
        <v>16</v>
      </c>
      <c r="M46" t="s">
        <v>29</v>
      </c>
      <c r="N46" t="s">
        <v>86</v>
      </c>
    </row>
    <row r="47" spans="1:14" x14ac:dyDescent="0.3">
      <c r="A47">
        <v>1051</v>
      </c>
      <c r="B47" s="13">
        <v>45020</v>
      </c>
      <c r="C47" t="s">
        <v>23</v>
      </c>
      <c r="D47" t="s">
        <v>13</v>
      </c>
      <c r="E47">
        <v>198.25</v>
      </c>
      <c r="F47">
        <v>12</v>
      </c>
      <c r="G47" t="s">
        <v>28</v>
      </c>
      <c r="H47">
        <v>3544.48</v>
      </c>
      <c r="I47">
        <v>3723.66</v>
      </c>
      <c r="J47" t="s">
        <v>20</v>
      </c>
      <c r="K47">
        <v>0.19</v>
      </c>
      <c r="L47" t="s">
        <v>16</v>
      </c>
      <c r="M47" t="s">
        <v>29</v>
      </c>
      <c r="N47" t="s">
        <v>69</v>
      </c>
    </row>
    <row r="48" spans="1:14" x14ac:dyDescent="0.3">
      <c r="A48">
        <v>1007</v>
      </c>
      <c r="B48" s="13">
        <v>44988</v>
      </c>
      <c r="C48" t="s">
        <v>12</v>
      </c>
      <c r="D48" t="s">
        <v>19</v>
      </c>
      <c r="E48">
        <v>4694.54</v>
      </c>
      <c r="F48">
        <v>1</v>
      </c>
      <c r="G48" t="s">
        <v>22</v>
      </c>
      <c r="H48">
        <v>2543.2600000000002</v>
      </c>
      <c r="I48" s="14" t="s">
        <v>284</v>
      </c>
      <c r="J48" t="s">
        <v>20</v>
      </c>
      <c r="K48">
        <v>0.2</v>
      </c>
      <c r="L48" t="s">
        <v>21</v>
      </c>
      <c r="M48" t="s">
        <v>29</v>
      </c>
      <c r="N48" t="s">
        <v>74</v>
      </c>
    </row>
    <row r="49" spans="1:14" x14ac:dyDescent="0.3">
      <c r="A49">
        <v>1021</v>
      </c>
      <c r="B49" s="13">
        <v>45120</v>
      </c>
      <c r="C49" t="s">
        <v>23</v>
      </c>
      <c r="D49" t="s">
        <v>19</v>
      </c>
      <c r="E49">
        <v>9638.64</v>
      </c>
      <c r="F49">
        <v>43</v>
      </c>
      <c r="G49" t="s">
        <v>24</v>
      </c>
      <c r="H49">
        <v>4154.3</v>
      </c>
      <c r="I49">
        <v>4469.07</v>
      </c>
      <c r="J49" t="s">
        <v>20</v>
      </c>
      <c r="K49">
        <v>0.23</v>
      </c>
      <c r="L49" t="s">
        <v>16</v>
      </c>
      <c r="M49" t="s">
        <v>17</v>
      </c>
      <c r="N49" t="s">
        <v>81</v>
      </c>
    </row>
    <row r="50" spans="1:14" x14ac:dyDescent="0.3">
      <c r="A50">
        <v>1073</v>
      </c>
      <c r="B50" s="13">
        <v>45261</v>
      </c>
      <c r="C50" t="s">
        <v>18</v>
      </c>
      <c r="D50" t="s">
        <v>19</v>
      </c>
      <c r="E50">
        <v>5238.42</v>
      </c>
      <c r="F50">
        <v>40</v>
      </c>
      <c r="G50" t="s">
        <v>24</v>
      </c>
      <c r="H50">
        <v>2565.3000000000002</v>
      </c>
      <c r="I50" s="14" t="s">
        <v>283</v>
      </c>
      <c r="J50" t="s">
        <v>20</v>
      </c>
      <c r="K50">
        <v>0.17</v>
      </c>
      <c r="L50" t="s">
        <v>21</v>
      </c>
      <c r="M50" t="s">
        <v>17</v>
      </c>
      <c r="N50" t="s">
        <v>56</v>
      </c>
    </row>
    <row r="51" spans="1:14" x14ac:dyDescent="0.3">
      <c r="A51">
        <v>1039</v>
      </c>
      <c r="B51" s="13">
        <v>45129</v>
      </c>
      <c r="C51" t="s">
        <v>26</v>
      </c>
      <c r="D51" t="s">
        <v>13</v>
      </c>
      <c r="E51">
        <v>6807.67</v>
      </c>
      <c r="F51">
        <v>42</v>
      </c>
      <c r="G51" t="s">
        <v>14</v>
      </c>
      <c r="H51">
        <v>3120.19</v>
      </c>
      <c r="I51">
        <v>3600.14</v>
      </c>
      <c r="J51" t="s">
        <v>20</v>
      </c>
      <c r="K51">
        <v>0.19</v>
      </c>
      <c r="L51" t="s">
        <v>21</v>
      </c>
      <c r="M51" t="s">
        <v>17</v>
      </c>
      <c r="N51" t="s">
        <v>55</v>
      </c>
    </row>
    <row r="52" spans="1:14" x14ac:dyDescent="0.3">
      <c r="A52">
        <v>1018</v>
      </c>
      <c r="B52" s="13">
        <v>44952</v>
      </c>
      <c r="C52" t="s">
        <v>26</v>
      </c>
      <c r="D52" t="s">
        <v>13</v>
      </c>
      <c r="E52">
        <v>3187.45</v>
      </c>
      <c r="F52">
        <v>11</v>
      </c>
      <c r="G52" t="s">
        <v>14</v>
      </c>
      <c r="H52">
        <v>2414.8200000000002</v>
      </c>
      <c r="I52">
        <v>2519.0700000000002</v>
      </c>
      <c r="J52" t="s">
        <v>20</v>
      </c>
      <c r="K52">
        <v>0</v>
      </c>
      <c r="L52" t="s">
        <v>16</v>
      </c>
      <c r="M52" t="s">
        <v>29</v>
      </c>
      <c r="N52" t="s">
        <v>55</v>
      </c>
    </row>
    <row r="53" spans="1:14" x14ac:dyDescent="0.3">
      <c r="A53">
        <v>1004</v>
      </c>
      <c r="B53" s="13">
        <v>45099</v>
      </c>
      <c r="C53" t="s">
        <v>12</v>
      </c>
      <c r="D53" t="s">
        <v>27</v>
      </c>
      <c r="E53">
        <v>7762.51</v>
      </c>
      <c r="F53">
        <v>39</v>
      </c>
      <c r="G53" t="s">
        <v>28</v>
      </c>
      <c r="H53">
        <v>2416.89</v>
      </c>
      <c r="I53" s="14" t="s">
        <v>282</v>
      </c>
      <c r="J53" t="s">
        <v>20</v>
      </c>
      <c r="K53">
        <v>0.05</v>
      </c>
      <c r="L53" t="s">
        <v>16</v>
      </c>
      <c r="M53" t="s">
        <v>29</v>
      </c>
      <c r="N53" t="s">
        <v>100</v>
      </c>
    </row>
    <row r="54" spans="1:14" x14ac:dyDescent="0.3">
      <c r="A54">
        <v>1089</v>
      </c>
      <c r="B54" s="13">
        <v>45226</v>
      </c>
      <c r="C54" t="s">
        <v>18</v>
      </c>
      <c r="D54" t="s">
        <v>30</v>
      </c>
      <c r="E54">
        <v>7751.92</v>
      </c>
      <c r="F54">
        <v>43</v>
      </c>
      <c r="G54" t="s">
        <v>24</v>
      </c>
      <c r="H54">
        <v>3851.45</v>
      </c>
      <c r="I54">
        <v>4186.9799999999996</v>
      </c>
      <c r="J54" t="s">
        <v>20</v>
      </c>
      <c r="K54">
        <v>0.3</v>
      </c>
      <c r="L54" t="s">
        <v>21</v>
      </c>
      <c r="M54" t="s">
        <v>29</v>
      </c>
      <c r="N54" t="s">
        <v>64</v>
      </c>
    </row>
    <row r="55" spans="1:14" x14ac:dyDescent="0.3">
      <c r="A55">
        <v>1060</v>
      </c>
      <c r="B55" s="13">
        <v>45059</v>
      </c>
      <c r="C55" t="s">
        <v>31</v>
      </c>
      <c r="D55" t="s">
        <v>19</v>
      </c>
      <c r="E55">
        <v>5260.83</v>
      </c>
      <c r="F55">
        <v>31</v>
      </c>
      <c r="G55" t="s">
        <v>28</v>
      </c>
      <c r="H55">
        <v>3161.4</v>
      </c>
      <c r="I55">
        <v>3339.66</v>
      </c>
      <c r="J55" t="s">
        <v>20</v>
      </c>
      <c r="K55">
        <v>0.02</v>
      </c>
      <c r="L55" t="s">
        <v>25</v>
      </c>
      <c r="M55" t="s">
        <v>29</v>
      </c>
      <c r="N55" t="s">
        <v>88</v>
      </c>
    </row>
    <row r="56" spans="1:14" x14ac:dyDescent="0.3">
      <c r="A56">
        <v>1014</v>
      </c>
      <c r="B56" s="13">
        <v>45252</v>
      </c>
      <c r="C56" t="s">
        <v>18</v>
      </c>
      <c r="D56" t="s">
        <v>19</v>
      </c>
      <c r="E56">
        <v>9762.5400000000009</v>
      </c>
      <c r="F56">
        <v>17</v>
      </c>
      <c r="G56" t="s">
        <v>22</v>
      </c>
      <c r="H56">
        <v>3184.65</v>
      </c>
      <c r="I56">
        <v>3204.01</v>
      </c>
      <c r="J56" t="s">
        <v>15</v>
      </c>
      <c r="K56">
        <v>0.2</v>
      </c>
      <c r="L56" t="s">
        <v>25</v>
      </c>
      <c r="M56" t="s">
        <v>29</v>
      </c>
      <c r="N56" t="s">
        <v>56</v>
      </c>
    </row>
    <row r="57" spans="1:14" x14ac:dyDescent="0.3">
      <c r="A57">
        <v>1009</v>
      </c>
      <c r="B57" s="13">
        <v>45044</v>
      </c>
      <c r="C57" t="s">
        <v>26</v>
      </c>
      <c r="D57" t="s">
        <v>30</v>
      </c>
      <c r="E57">
        <v>1342.95</v>
      </c>
      <c r="F57">
        <v>33</v>
      </c>
      <c r="G57" t="s">
        <v>14</v>
      </c>
      <c r="H57">
        <v>2278.9</v>
      </c>
      <c r="I57">
        <v>2626.9</v>
      </c>
      <c r="J57" t="s">
        <v>15</v>
      </c>
      <c r="K57">
        <v>0.05</v>
      </c>
      <c r="L57" t="s">
        <v>21</v>
      </c>
      <c r="M57" t="s">
        <v>29</v>
      </c>
      <c r="N57" t="s">
        <v>71</v>
      </c>
    </row>
    <row r="58" spans="1:14" x14ac:dyDescent="0.3">
      <c r="A58">
        <v>1090</v>
      </c>
      <c r="B58" s="13">
        <v>45250</v>
      </c>
      <c r="C58" t="s">
        <v>26</v>
      </c>
      <c r="D58" t="s">
        <v>19</v>
      </c>
      <c r="E58">
        <v>267.77999999999997</v>
      </c>
      <c r="F58">
        <v>32</v>
      </c>
      <c r="G58" t="s">
        <v>28</v>
      </c>
      <c r="H58">
        <v>2678.99</v>
      </c>
      <c r="I58" s="14" t="s">
        <v>281</v>
      </c>
      <c r="J58" t="s">
        <v>20</v>
      </c>
      <c r="K58">
        <v>0.22</v>
      </c>
      <c r="L58" t="s">
        <v>16</v>
      </c>
      <c r="M58" t="s">
        <v>17</v>
      </c>
      <c r="N58" t="s">
        <v>76</v>
      </c>
    </row>
    <row r="59" spans="1:14" x14ac:dyDescent="0.3">
      <c r="A59">
        <v>1053</v>
      </c>
      <c r="B59" s="13">
        <v>45201</v>
      </c>
      <c r="C59" t="s">
        <v>18</v>
      </c>
      <c r="D59" t="s">
        <v>13</v>
      </c>
      <c r="E59">
        <v>7724.57</v>
      </c>
      <c r="F59">
        <v>29</v>
      </c>
      <c r="G59" t="s">
        <v>28</v>
      </c>
      <c r="H59">
        <v>3741.3</v>
      </c>
      <c r="I59">
        <v>4061.04</v>
      </c>
      <c r="J59" t="s">
        <v>20</v>
      </c>
      <c r="K59">
        <v>0.21</v>
      </c>
      <c r="L59" t="s">
        <v>21</v>
      </c>
      <c r="M59" t="s">
        <v>29</v>
      </c>
      <c r="N59" t="s">
        <v>80</v>
      </c>
    </row>
    <row r="60" spans="1:14" x14ac:dyDescent="0.3">
      <c r="A60">
        <v>1002</v>
      </c>
      <c r="B60" s="13">
        <v>45138</v>
      </c>
      <c r="C60" t="s">
        <v>18</v>
      </c>
      <c r="D60" t="s">
        <v>13</v>
      </c>
      <c r="E60">
        <v>8090.84</v>
      </c>
      <c r="F60">
        <v>21</v>
      </c>
      <c r="G60" t="s">
        <v>14</v>
      </c>
      <c r="H60">
        <v>4138.41</v>
      </c>
      <c r="I60">
        <v>4361.7</v>
      </c>
      <c r="J60" t="s">
        <v>20</v>
      </c>
      <c r="K60">
        <v>7.0000000000000007E-2</v>
      </c>
      <c r="L60" t="s">
        <v>21</v>
      </c>
      <c r="M60" t="s">
        <v>17</v>
      </c>
      <c r="N60" t="s">
        <v>80</v>
      </c>
    </row>
    <row r="61" spans="1:14" x14ac:dyDescent="0.3">
      <c r="A61">
        <v>1084</v>
      </c>
      <c r="B61" s="13">
        <v>45151</v>
      </c>
      <c r="C61" t="s">
        <v>26</v>
      </c>
      <c r="D61" t="s">
        <v>19</v>
      </c>
      <c r="E61">
        <v>1290.05</v>
      </c>
      <c r="F61">
        <v>21</v>
      </c>
      <c r="G61" t="s">
        <v>24</v>
      </c>
      <c r="H61">
        <v>3497.98</v>
      </c>
      <c r="I61">
        <v>3765.31</v>
      </c>
      <c r="J61" t="s">
        <v>15</v>
      </c>
      <c r="K61">
        <v>0.08</v>
      </c>
      <c r="L61" t="s">
        <v>16</v>
      </c>
      <c r="M61" t="s">
        <v>29</v>
      </c>
      <c r="N61" t="s">
        <v>76</v>
      </c>
    </row>
    <row r="62" spans="1:14" x14ac:dyDescent="0.3">
      <c r="A62">
        <v>1092</v>
      </c>
      <c r="B62" s="13">
        <v>44946</v>
      </c>
      <c r="C62" t="s">
        <v>31</v>
      </c>
      <c r="D62" t="s">
        <v>13</v>
      </c>
      <c r="E62">
        <v>2729.27</v>
      </c>
      <c r="F62">
        <v>40</v>
      </c>
      <c r="G62" t="s">
        <v>28</v>
      </c>
      <c r="H62">
        <v>4624.16</v>
      </c>
      <c r="I62">
        <v>4731.9799999999996</v>
      </c>
      <c r="J62" t="s">
        <v>15</v>
      </c>
      <c r="K62">
        <v>0.2</v>
      </c>
      <c r="L62" t="s">
        <v>25</v>
      </c>
      <c r="M62" t="s">
        <v>17</v>
      </c>
      <c r="N62" t="s">
        <v>67</v>
      </c>
    </row>
    <row r="63" spans="1:14" x14ac:dyDescent="0.3">
      <c r="A63">
        <v>1060</v>
      </c>
      <c r="B63" s="13">
        <v>45039</v>
      </c>
      <c r="C63" t="s">
        <v>12</v>
      </c>
      <c r="D63" t="s">
        <v>13</v>
      </c>
      <c r="E63">
        <v>273.77</v>
      </c>
      <c r="F63">
        <v>23</v>
      </c>
      <c r="G63" t="s">
        <v>14</v>
      </c>
      <c r="H63">
        <v>4110.6000000000004</v>
      </c>
      <c r="I63" s="14" t="s">
        <v>280</v>
      </c>
      <c r="J63" t="s">
        <v>15</v>
      </c>
      <c r="K63">
        <v>0.12</v>
      </c>
      <c r="L63" t="s">
        <v>21</v>
      </c>
      <c r="M63" t="s">
        <v>29</v>
      </c>
      <c r="N63" t="s">
        <v>83</v>
      </c>
    </row>
    <row r="64" spans="1:14" x14ac:dyDescent="0.3">
      <c r="A64">
        <v>1071</v>
      </c>
      <c r="B64" s="13">
        <v>45066</v>
      </c>
      <c r="C64" t="s">
        <v>12</v>
      </c>
      <c r="D64" t="s">
        <v>19</v>
      </c>
      <c r="E64">
        <v>3003.76</v>
      </c>
      <c r="F64">
        <v>6</v>
      </c>
      <c r="G64" t="s">
        <v>24</v>
      </c>
      <c r="H64">
        <v>2831.23</v>
      </c>
      <c r="I64">
        <v>3206.98</v>
      </c>
      <c r="J64" t="s">
        <v>20</v>
      </c>
      <c r="K64">
        <v>0.06</v>
      </c>
      <c r="L64" t="s">
        <v>25</v>
      </c>
      <c r="M64" t="s">
        <v>17</v>
      </c>
      <c r="N64" t="s">
        <v>74</v>
      </c>
    </row>
    <row r="65" spans="1:14" x14ac:dyDescent="0.3">
      <c r="A65">
        <v>1044</v>
      </c>
      <c r="B65" s="13">
        <v>44973</v>
      </c>
      <c r="C65" t="s">
        <v>18</v>
      </c>
      <c r="D65" t="s">
        <v>27</v>
      </c>
      <c r="E65">
        <v>7754.1</v>
      </c>
      <c r="F65">
        <v>22</v>
      </c>
      <c r="G65" t="s">
        <v>22</v>
      </c>
      <c r="H65">
        <v>3373.46</v>
      </c>
      <c r="I65">
        <v>3454.76</v>
      </c>
      <c r="J65" t="s">
        <v>20</v>
      </c>
      <c r="K65">
        <v>0.22</v>
      </c>
      <c r="L65" t="s">
        <v>25</v>
      </c>
      <c r="M65" t="s">
        <v>17</v>
      </c>
      <c r="N65" t="s">
        <v>58</v>
      </c>
    </row>
    <row r="66" spans="1:14" x14ac:dyDescent="0.3">
      <c r="A66">
        <v>1008</v>
      </c>
      <c r="B66" s="13">
        <v>44927</v>
      </c>
      <c r="C66" t="s">
        <v>12</v>
      </c>
      <c r="D66" t="s">
        <v>30</v>
      </c>
      <c r="E66">
        <v>5227.8100000000004</v>
      </c>
      <c r="F66">
        <v>38</v>
      </c>
      <c r="G66" t="s">
        <v>14</v>
      </c>
      <c r="H66">
        <v>4635.2299999999996</v>
      </c>
      <c r="I66">
        <v>5075.4399999999996</v>
      </c>
      <c r="J66" t="s">
        <v>20</v>
      </c>
      <c r="K66">
        <v>0.05</v>
      </c>
      <c r="L66" t="s">
        <v>16</v>
      </c>
      <c r="M66" t="s">
        <v>29</v>
      </c>
      <c r="N66" t="s">
        <v>72</v>
      </c>
    </row>
    <row r="67" spans="1:14" x14ac:dyDescent="0.3">
      <c r="A67">
        <v>1047</v>
      </c>
      <c r="B67" s="13">
        <v>45016</v>
      </c>
      <c r="C67" t="s">
        <v>26</v>
      </c>
      <c r="D67" t="s">
        <v>13</v>
      </c>
      <c r="E67">
        <v>3546.15</v>
      </c>
      <c r="F67">
        <v>37</v>
      </c>
      <c r="G67" t="s">
        <v>28</v>
      </c>
      <c r="H67">
        <v>3114.88</v>
      </c>
      <c r="I67">
        <v>3256.78</v>
      </c>
      <c r="J67" t="s">
        <v>20</v>
      </c>
      <c r="K67">
        <v>0.26</v>
      </c>
      <c r="L67" t="s">
        <v>21</v>
      </c>
      <c r="M67" t="s">
        <v>29</v>
      </c>
      <c r="N67" t="s">
        <v>55</v>
      </c>
    </row>
    <row r="68" spans="1:14" x14ac:dyDescent="0.3">
      <c r="A68">
        <v>1035</v>
      </c>
      <c r="B68" s="13">
        <v>45068</v>
      </c>
      <c r="C68" t="s">
        <v>26</v>
      </c>
      <c r="D68" t="s">
        <v>27</v>
      </c>
      <c r="E68">
        <v>3780.22</v>
      </c>
      <c r="F68">
        <v>45</v>
      </c>
      <c r="G68" t="s">
        <v>22</v>
      </c>
      <c r="H68">
        <v>4132.79</v>
      </c>
      <c r="I68">
        <v>4624.1000000000004</v>
      </c>
      <c r="J68" t="s">
        <v>15</v>
      </c>
      <c r="K68">
        <v>0.15</v>
      </c>
      <c r="L68" t="s">
        <v>21</v>
      </c>
      <c r="M68" t="s">
        <v>17</v>
      </c>
      <c r="N68" t="s">
        <v>63</v>
      </c>
    </row>
    <row r="69" spans="1:14" x14ac:dyDescent="0.3">
      <c r="A69">
        <v>1078</v>
      </c>
      <c r="B69" s="13">
        <v>45246</v>
      </c>
      <c r="C69" t="s">
        <v>18</v>
      </c>
      <c r="D69" t="s">
        <v>13</v>
      </c>
      <c r="E69">
        <v>113.4</v>
      </c>
      <c r="F69">
        <v>8</v>
      </c>
      <c r="G69" t="s">
        <v>24</v>
      </c>
      <c r="H69">
        <v>3459.61</v>
      </c>
      <c r="I69">
        <v>3657.23</v>
      </c>
      <c r="J69" t="s">
        <v>20</v>
      </c>
      <c r="K69">
        <v>0.03</v>
      </c>
      <c r="L69" t="s">
        <v>25</v>
      </c>
      <c r="M69" t="s">
        <v>29</v>
      </c>
      <c r="N69" t="s">
        <v>80</v>
      </c>
    </row>
    <row r="70" spans="1:14" x14ac:dyDescent="0.3">
      <c r="A70">
        <v>1081</v>
      </c>
      <c r="B70" s="13">
        <v>44964</v>
      </c>
      <c r="C70" t="s">
        <v>18</v>
      </c>
      <c r="D70" t="s">
        <v>13</v>
      </c>
      <c r="E70">
        <v>3068.03</v>
      </c>
      <c r="F70">
        <v>41</v>
      </c>
      <c r="G70" t="s">
        <v>24</v>
      </c>
      <c r="H70">
        <v>2782.08</v>
      </c>
      <c r="I70">
        <v>2879.24</v>
      </c>
      <c r="J70" t="s">
        <v>15</v>
      </c>
      <c r="K70">
        <v>0.21</v>
      </c>
      <c r="L70" t="s">
        <v>25</v>
      </c>
      <c r="M70" t="s">
        <v>29</v>
      </c>
      <c r="N70" t="s">
        <v>80</v>
      </c>
    </row>
    <row r="71" spans="1:14" x14ac:dyDescent="0.3">
      <c r="A71">
        <v>1036</v>
      </c>
      <c r="B71" s="13">
        <v>45219</v>
      </c>
      <c r="C71" t="s">
        <v>18</v>
      </c>
      <c r="D71" t="s">
        <v>30</v>
      </c>
      <c r="E71">
        <v>6499.94</v>
      </c>
      <c r="F71">
        <v>49</v>
      </c>
      <c r="G71" t="s">
        <v>14</v>
      </c>
      <c r="H71">
        <v>1247.0999999999999</v>
      </c>
      <c r="I71" s="14" t="s">
        <v>279</v>
      </c>
      <c r="J71" t="s">
        <v>15</v>
      </c>
      <c r="K71">
        <v>0.16</v>
      </c>
      <c r="L71" t="s">
        <v>16</v>
      </c>
      <c r="M71" t="s">
        <v>29</v>
      </c>
      <c r="N71" t="s">
        <v>64</v>
      </c>
    </row>
    <row r="72" spans="1:14" x14ac:dyDescent="0.3">
      <c r="A72">
        <v>1050</v>
      </c>
      <c r="B72" s="13">
        <v>45065</v>
      </c>
      <c r="C72" t="s">
        <v>31</v>
      </c>
      <c r="D72" t="s">
        <v>13</v>
      </c>
      <c r="E72">
        <v>9744.52</v>
      </c>
      <c r="F72">
        <v>35</v>
      </c>
      <c r="G72" t="s">
        <v>14</v>
      </c>
      <c r="H72">
        <v>2158.69</v>
      </c>
      <c r="I72">
        <v>2384.38</v>
      </c>
      <c r="J72" t="s">
        <v>20</v>
      </c>
      <c r="K72">
        <v>0.09</v>
      </c>
      <c r="L72" t="s">
        <v>25</v>
      </c>
      <c r="M72" t="s">
        <v>17</v>
      </c>
      <c r="N72" t="s">
        <v>67</v>
      </c>
    </row>
    <row r="73" spans="1:14" x14ac:dyDescent="0.3">
      <c r="A73">
        <v>1004</v>
      </c>
      <c r="B73" s="13">
        <v>45282</v>
      </c>
      <c r="C73" t="s">
        <v>12</v>
      </c>
      <c r="D73" t="s">
        <v>30</v>
      </c>
      <c r="E73">
        <v>8485.9</v>
      </c>
      <c r="F73">
        <v>11</v>
      </c>
      <c r="G73" t="s">
        <v>14</v>
      </c>
      <c r="H73">
        <v>4840.33</v>
      </c>
      <c r="I73">
        <v>4884.29</v>
      </c>
      <c r="J73" t="s">
        <v>15</v>
      </c>
      <c r="K73">
        <v>0.13</v>
      </c>
      <c r="L73" t="s">
        <v>16</v>
      </c>
      <c r="M73" t="s">
        <v>29</v>
      </c>
      <c r="N73" t="s">
        <v>72</v>
      </c>
    </row>
    <row r="74" spans="1:14" x14ac:dyDescent="0.3">
      <c r="A74">
        <v>1002</v>
      </c>
      <c r="B74" s="13">
        <v>45259</v>
      </c>
      <c r="C74" t="s">
        <v>18</v>
      </c>
      <c r="D74" t="s">
        <v>30</v>
      </c>
      <c r="E74">
        <v>333.59</v>
      </c>
      <c r="F74">
        <v>24</v>
      </c>
      <c r="G74" t="s">
        <v>24</v>
      </c>
      <c r="H74">
        <v>3305.94</v>
      </c>
      <c r="I74">
        <v>3599.27</v>
      </c>
      <c r="J74" t="s">
        <v>15</v>
      </c>
      <c r="K74">
        <v>0.09</v>
      </c>
      <c r="L74" t="s">
        <v>21</v>
      </c>
      <c r="M74" t="s">
        <v>17</v>
      </c>
      <c r="N74" t="s">
        <v>64</v>
      </c>
    </row>
    <row r="75" spans="1:14" x14ac:dyDescent="0.3">
      <c r="A75">
        <v>1006</v>
      </c>
      <c r="B75" s="13">
        <v>45185</v>
      </c>
      <c r="C75" t="s">
        <v>23</v>
      </c>
      <c r="D75" t="s">
        <v>30</v>
      </c>
      <c r="E75">
        <v>8995.75</v>
      </c>
      <c r="F75">
        <v>49</v>
      </c>
      <c r="G75" t="s">
        <v>22</v>
      </c>
      <c r="H75">
        <v>2843.76</v>
      </c>
      <c r="I75" s="14" t="s">
        <v>278</v>
      </c>
      <c r="J75" t="s">
        <v>15</v>
      </c>
      <c r="K75">
        <v>0.08</v>
      </c>
      <c r="L75" t="s">
        <v>16</v>
      </c>
      <c r="M75" t="s">
        <v>17</v>
      </c>
      <c r="N75" t="s">
        <v>60</v>
      </c>
    </row>
    <row r="76" spans="1:14" x14ac:dyDescent="0.3">
      <c r="A76">
        <v>1054</v>
      </c>
      <c r="B76" s="13">
        <v>45087</v>
      </c>
      <c r="C76" t="s">
        <v>23</v>
      </c>
      <c r="D76" t="s">
        <v>27</v>
      </c>
      <c r="E76">
        <v>7853.66</v>
      </c>
      <c r="F76">
        <v>21</v>
      </c>
      <c r="G76" t="s">
        <v>24</v>
      </c>
      <c r="H76">
        <v>4668.1400000000003</v>
      </c>
      <c r="I76">
        <v>5040.22</v>
      </c>
      <c r="J76" t="s">
        <v>15</v>
      </c>
      <c r="K76">
        <v>0.05</v>
      </c>
      <c r="L76" t="s">
        <v>25</v>
      </c>
      <c r="M76" t="s">
        <v>29</v>
      </c>
      <c r="N76" t="s">
        <v>96</v>
      </c>
    </row>
    <row r="77" spans="1:14" x14ac:dyDescent="0.3">
      <c r="A77">
        <v>1004</v>
      </c>
      <c r="B77" s="13">
        <v>45104</v>
      </c>
      <c r="C77" t="s">
        <v>26</v>
      </c>
      <c r="D77" t="s">
        <v>19</v>
      </c>
      <c r="E77">
        <v>7825.72</v>
      </c>
      <c r="F77">
        <v>2</v>
      </c>
      <c r="G77" t="s">
        <v>28</v>
      </c>
      <c r="H77">
        <v>2953.23</v>
      </c>
      <c r="I77">
        <v>2977.52</v>
      </c>
      <c r="J77" t="s">
        <v>20</v>
      </c>
      <c r="K77">
        <v>0.11</v>
      </c>
      <c r="L77" t="s">
        <v>21</v>
      </c>
      <c r="M77" t="s">
        <v>17</v>
      </c>
      <c r="N77" t="s">
        <v>76</v>
      </c>
    </row>
    <row r="78" spans="1:14" x14ac:dyDescent="0.3">
      <c r="A78">
        <v>1054</v>
      </c>
      <c r="B78" s="13">
        <v>44936</v>
      </c>
      <c r="C78" t="s">
        <v>12</v>
      </c>
      <c r="D78" t="s">
        <v>27</v>
      </c>
      <c r="E78">
        <v>4634.16</v>
      </c>
      <c r="F78">
        <v>40</v>
      </c>
      <c r="G78" t="s">
        <v>24</v>
      </c>
      <c r="H78">
        <v>2654.11</v>
      </c>
      <c r="I78">
        <v>2929.32</v>
      </c>
      <c r="J78" t="s">
        <v>20</v>
      </c>
      <c r="K78">
        <v>0.08</v>
      </c>
      <c r="L78" t="s">
        <v>16</v>
      </c>
      <c r="M78" t="s">
        <v>29</v>
      </c>
      <c r="N78" t="s">
        <v>100</v>
      </c>
    </row>
    <row r="79" spans="1:14" x14ac:dyDescent="0.3">
      <c r="A79">
        <v>1093</v>
      </c>
      <c r="B79" s="13">
        <v>45187</v>
      </c>
      <c r="C79" t="s">
        <v>18</v>
      </c>
      <c r="D79" t="s">
        <v>19</v>
      </c>
      <c r="E79">
        <v>4040.25</v>
      </c>
      <c r="F79">
        <v>19</v>
      </c>
      <c r="G79" t="s">
        <v>28</v>
      </c>
      <c r="H79">
        <v>3808.59</v>
      </c>
      <c r="I79">
        <v>3844.51</v>
      </c>
      <c r="J79" t="s">
        <v>15</v>
      </c>
      <c r="K79">
        <v>0.21</v>
      </c>
      <c r="L79" t="s">
        <v>21</v>
      </c>
      <c r="M79" t="s">
        <v>29</v>
      </c>
      <c r="N79" t="s">
        <v>56</v>
      </c>
    </row>
    <row r="80" spans="1:14" x14ac:dyDescent="0.3">
      <c r="A80">
        <v>1063</v>
      </c>
      <c r="B80" s="13">
        <v>45064</v>
      </c>
      <c r="C80" t="s">
        <v>23</v>
      </c>
      <c r="D80" t="s">
        <v>19</v>
      </c>
      <c r="E80">
        <v>3098.87</v>
      </c>
      <c r="F80">
        <v>39</v>
      </c>
      <c r="G80" t="s">
        <v>22</v>
      </c>
      <c r="H80">
        <v>3577.69</v>
      </c>
      <c r="I80">
        <v>3931.25</v>
      </c>
      <c r="J80" t="s">
        <v>20</v>
      </c>
      <c r="K80">
        <v>0.21</v>
      </c>
      <c r="L80" t="s">
        <v>16</v>
      </c>
      <c r="M80" t="s">
        <v>17</v>
      </c>
      <c r="N80" t="s">
        <v>81</v>
      </c>
    </row>
    <row r="81" spans="1:14" x14ac:dyDescent="0.3">
      <c r="A81">
        <v>1018</v>
      </c>
      <c r="B81" s="13">
        <v>45098</v>
      </c>
      <c r="C81" t="s">
        <v>12</v>
      </c>
      <c r="D81" t="s">
        <v>30</v>
      </c>
      <c r="E81">
        <v>750.38</v>
      </c>
      <c r="F81">
        <v>28</v>
      </c>
      <c r="G81" t="s">
        <v>14</v>
      </c>
      <c r="H81">
        <v>1006.14</v>
      </c>
      <c r="I81">
        <v>1043.45</v>
      </c>
      <c r="J81" t="s">
        <v>15</v>
      </c>
      <c r="K81">
        <v>0.15</v>
      </c>
      <c r="L81" t="s">
        <v>25</v>
      </c>
      <c r="M81" t="s">
        <v>17</v>
      </c>
      <c r="N81" t="s">
        <v>72</v>
      </c>
    </row>
    <row r="82" spans="1:14" x14ac:dyDescent="0.3">
      <c r="A82">
        <v>1090</v>
      </c>
      <c r="B82" s="13">
        <v>44939</v>
      </c>
      <c r="C82" t="s">
        <v>26</v>
      </c>
      <c r="D82" t="s">
        <v>13</v>
      </c>
      <c r="E82">
        <v>2359.5300000000002</v>
      </c>
      <c r="F82">
        <v>17</v>
      </c>
      <c r="G82" t="s">
        <v>14</v>
      </c>
      <c r="H82">
        <v>2382.98</v>
      </c>
      <c r="I82">
        <v>2839.73</v>
      </c>
      <c r="J82" t="s">
        <v>20</v>
      </c>
      <c r="K82">
        <v>0.23</v>
      </c>
      <c r="L82" t="s">
        <v>25</v>
      </c>
      <c r="M82" t="s">
        <v>17</v>
      </c>
      <c r="N82" t="s">
        <v>55</v>
      </c>
    </row>
    <row r="83" spans="1:14" x14ac:dyDescent="0.3">
      <c r="A83">
        <v>1044</v>
      </c>
      <c r="B83" s="13">
        <v>45094</v>
      </c>
      <c r="C83" t="s">
        <v>31</v>
      </c>
      <c r="D83" t="s">
        <v>30</v>
      </c>
      <c r="E83">
        <v>2541.38</v>
      </c>
      <c r="F83">
        <v>6</v>
      </c>
      <c r="G83" t="s">
        <v>24</v>
      </c>
      <c r="H83">
        <v>2388.9499999999998</v>
      </c>
      <c r="I83">
        <v>2742.97</v>
      </c>
      <c r="J83" t="s">
        <v>20</v>
      </c>
      <c r="K83">
        <v>0.25</v>
      </c>
      <c r="L83" t="s">
        <v>21</v>
      </c>
      <c r="M83" t="s">
        <v>17</v>
      </c>
      <c r="N83" t="s">
        <v>62</v>
      </c>
    </row>
    <row r="84" spans="1:14" x14ac:dyDescent="0.3">
      <c r="A84">
        <v>1034</v>
      </c>
      <c r="B84" s="13">
        <v>45056</v>
      </c>
      <c r="C84" t="s">
        <v>12</v>
      </c>
      <c r="D84" t="s">
        <v>13</v>
      </c>
      <c r="E84">
        <v>4892.3599999999997</v>
      </c>
      <c r="F84">
        <v>19</v>
      </c>
      <c r="G84" t="s">
        <v>14</v>
      </c>
      <c r="H84">
        <v>1922.21</v>
      </c>
      <c r="I84">
        <v>2180.83</v>
      </c>
      <c r="J84" t="s">
        <v>20</v>
      </c>
      <c r="K84">
        <v>0.17</v>
      </c>
      <c r="L84" t="s">
        <v>21</v>
      </c>
      <c r="M84" t="s">
        <v>17</v>
      </c>
      <c r="N84" t="s">
        <v>83</v>
      </c>
    </row>
    <row r="85" spans="1:14" x14ac:dyDescent="0.3">
      <c r="A85">
        <v>1074</v>
      </c>
      <c r="B85" s="13">
        <v>45010</v>
      </c>
      <c r="C85" t="s">
        <v>12</v>
      </c>
      <c r="D85" t="s">
        <v>19</v>
      </c>
      <c r="E85">
        <v>7499.7</v>
      </c>
      <c r="F85">
        <v>38</v>
      </c>
      <c r="G85" t="s">
        <v>22</v>
      </c>
      <c r="H85">
        <v>2610.6</v>
      </c>
      <c r="I85">
        <v>2836.94</v>
      </c>
      <c r="J85" t="s">
        <v>20</v>
      </c>
      <c r="K85">
        <v>0.19</v>
      </c>
      <c r="L85" t="s">
        <v>21</v>
      </c>
      <c r="M85" t="s">
        <v>29</v>
      </c>
      <c r="N85" t="s">
        <v>74</v>
      </c>
    </row>
    <row r="86" spans="1:14" x14ac:dyDescent="0.3">
      <c r="A86">
        <v>1062</v>
      </c>
      <c r="B86" s="13">
        <v>45247</v>
      </c>
      <c r="C86" t="s">
        <v>31</v>
      </c>
      <c r="D86" t="s">
        <v>30</v>
      </c>
      <c r="E86">
        <v>4790.72</v>
      </c>
      <c r="F86">
        <v>28</v>
      </c>
      <c r="G86" t="s">
        <v>14</v>
      </c>
      <c r="H86">
        <v>2094.88</v>
      </c>
      <c r="I86" s="14" t="s">
        <v>277</v>
      </c>
      <c r="J86" t="s">
        <v>20</v>
      </c>
      <c r="K86">
        <v>0.08</v>
      </c>
      <c r="L86" t="s">
        <v>16</v>
      </c>
      <c r="M86" t="s">
        <v>17</v>
      </c>
      <c r="N86" t="s">
        <v>62</v>
      </c>
    </row>
    <row r="87" spans="1:14" x14ac:dyDescent="0.3">
      <c r="A87">
        <v>1100</v>
      </c>
      <c r="B87" s="13">
        <v>45245</v>
      </c>
      <c r="C87" t="s">
        <v>12</v>
      </c>
      <c r="D87" t="s">
        <v>13</v>
      </c>
      <c r="E87">
        <v>672.66</v>
      </c>
      <c r="F87">
        <v>2</v>
      </c>
      <c r="G87" t="s">
        <v>24</v>
      </c>
      <c r="H87">
        <v>1036.76</v>
      </c>
      <c r="I87">
        <v>1189.3499999999999</v>
      </c>
      <c r="J87" t="s">
        <v>15</v>
      </c>
      <c r="K87">
        <v>0.27</v>
      </c>
      <c r="L87" t="s">
        <v>25</v>
      </c>
      <c r="M87" t="s">
        <v>29</v>
      </c>
      <c r="N87" t="s">
        <v>83</v>
      </c>
    </row>
    <row r="88" spans="1:14" x14ac:dyDescent="0.3">
      <c r="A88">
        <v>1014</v>
      </c>
      <c r="B88" s="13">
        <v>45027</v>
      </c>
      <c r="C88" t="s">
        <v>26</v>
      </c>
      <c r="D88" t="s">
        <v>27</v>
      </c>
      <c r="E88">
        <v>9582.1200000000008</v>
      </c>
      <c r="F88">
        <v>38</v>
      </c>
      <c r="G88" t="s">
        <v>22</v>
      </c>
      <c r="H88">
        <v>2091.21</v>
      </c>
      <c r="I88">
        <v>2527</v>
      </c>
      <c r="J88" t="s">
        <v>20</v>
      </c>
      <c r="K88">
        <v>0.01</v>
      </c>
      <c r="L88" t="s">
        <v>21</v>
      </c>
      <c r="M88" t="s">
        <v>29</v>
      </c>
      <c r="N88" t="s">
        <v>63</v>
      </c>
    </row>
    <row r="89" spans="1:14" x14ac:dyDescent="0.3">
      <c r="A89">
        <v>1095</v>
      </c>
      <c r="B89" s="13">
        <v>45255</v>
      </c>
      <c r="C89" t="s">
        <v>26</v>
      </c>
      <c r="D89" t="s">
        <v>13</v>
      </c>
      <c r="E89">
        <v>9432.9699999999993</v>
      </c>
      <c r="F89">
        <v>37</v>
      </c>
      <c r="G89" t="s">
        <v>28</v>
      </c>
      <c r="H89">
        <v>407.77</v>
      </c>
      <c r="I89">
        <v>860.95</v>
      </c>
      <c r="J89" t="s">
        <v>15</v>
      </c>
      <c r="K89">
        <v>0.1</v>
      </c>
      <c r="L89" t="s">
        <v>21</v>
      </c>
      <c r="M89" t="s">
        <v>17</v>
      </c>
      <c r="N89" t="s">
        <v>55</v>
      </c>
    </row>
    <row r="90" spans="1:14" x14ac:dyDescent="0.3">
      <c r="A90">
        <v>1048</v>
      </c>
      <c r="B90" s="13">
        <v>45199</v>
      </c>
      <c r="C90" t="s">
        <v>31</v>
      </c>
      <c r="D90" t="s">
        <v>30</v>
      </c>
      <c r="E90">
        <v>7873.38</v>
      </c>
      <c r="F90">
        <v>4</v>
      </c>
      <c r="G90" t="s">
        <v>24</v>
      </c>
      <c r="H90">
        <v>2900.14</v>
      </c>
      <c r="I90" s="14" t="s">
        <v>276</v>
      </c>
      <c r="J90" t="s">
        <v>15</v>
      </c>
      <c r="K90">
        <v>0.22</v>
      </c>
      <c r="L90" t="s">
        <v>21</v>
      </c>
      <c r="M90" t="s">
        <v>17</v>
      </c>
      <c r="N90" t="s">
        <v>62</v>
      </c>
    </row>
    <row r="91" spans="1:14" x14ac:dyDescent="0.3">
      <c r="A91">
        <v>1015</v>
      </c>
      <c r="B91" s="13">
        <v>45191</v>
      </c>
      <c r="C91" t="s">
        <v>18</v>
      </c>
      <c r="D91" t="s">
        <v>27</v>
      </c>
      <c r="E91">
        <v>9914.15</v>
      </c>
      <c r="F91">
        <v>22</v>
      </c>
      <c r="G91" t="s">
        <v>28</v>
      </c>
      <c r="H91">
        <v>4275.59</v>
      </c>
      <c r="I91">
        <v>4576.72</v>
      </c>
      <c r="J91" t="s">
        <v>20</v>
      </c>
      <c r="K91">
        <v>0.02</v>
      </c>
      <c r="L91" t="s">
        <v>16</v>
      </c>
      <c r="M91" t="s">
        <v>17</v>
      </c>
      <c r="N91" t="s">
        <v>58</v>
      </c>
    </row>
    <row r="92" spans="1:14" x14ac:dyDescent="0.3">
      <c r="A92">
        <v>1072</v>
      </c>
      <c r="B92" s="13">
        <v>44964</v>
      </c>
      <c r="C92" t="s">
        <v>23</v>
      </c>
      <c r="D92" t="s">
        <v>13</v>
      </c>
      <c r="E92">
        <v>5490.38</v>
      </c>
      <c r="F92">
        <v>26</v>
      </c>
      <c r="G92" t="s">
        <v>22</v>
      </c>
      <c r="H92">
        <v>3640.17</v>
      </c>
      <c r="I92">
        <v>4002.63</v>
      </c>
      <c r="J92" t="s">
        <v>15</v>
      </c>
      <c r="K92">
        <v>0.05</v>
      </c>
      <c r="L92" t="s">
        <v>21</v>
      </c>
      <c r="M92" t="s">
        <v>17</v>
      </c>
      <c r="N92" t="s">
        <v>69</v>
      </c>
    </row>
    <row r="93" spans="1:14" x14ac:dyDescent="0.3">
      <c r="A93">
        <v>1078</v>
      </c>
      <c r="B93" s="13">
        <v>45020</v>
      </c>
      <c r="C93" t="s">
        <v>18</v>
      </c>
      <c r="D93" t="s">
        <v>13</v>
      </c>
      <c r="E93">
        <v>9631.41</v>
      </c>
      <c r="F93">
        <v>49</v>
      </c>
      <c r="G93" t="s">
        <v>24</v>
      </c>
      <c r="H93">
        <v>1833.95</v>
      </c>
      <c r="I93">
        <v>2147.14</v>
      </c>
      <c r="J93" t="s">
        <v>20</v>
      </c>
      <c r="K93">
        <v>0.18</v>
      </c>
      <c r="L93" t="s">
        <v>21</v>
      </c>
      <c r="M93" t="s">
        <v>17</v>
      </c>
      <c r="N93" t="s">
        <v>80</v>
      </c>
    </row>
    <row r="94" spans="1:14" x14ac:dyDescent="0.3">
      <c r="A94">
        <v>1087</v>
      </c>
      <c r="B94" s="13">
        <v>45021</v>
      </c>
      <c r="C94" t="s">
        <v>12</v>
      </c>
      <c r="D94" t="s">
        <v>13</v>
      </c>
      <c r="E94">
        <v>848.49</v>
      </c>
      <c r="F94">
        <v>43</v>
      </c>
      <c r="G94" t="s">
        <v>24</v>
      </c>
      <c r="H94">
        <v>481</v>
      </c>
      <c r="I94">
        <v>531.02</v>
      </c>
      <c r="J94" t="s">
        <v>15</v>
      </c>
      <c r="K94">
        <v>0.17</v>
      </c>
      <c r="L94" t="s">
        <v>16</v>
      </c>
      <c r="M94" t="s">
        <v>29</v>
      </c>
      <c r="N94" t="s">
        <v>83</v>
      </c>
    </row>
    <row r="95" spans="1:14" x14ac:dyDescent="0.3">
      <c r="A95">
        <v>1062</v>
      </c>
      <c r="B95" s="13">
        <v>45231</v>
      </c>
      <c r="C95" t="s">
        <v>23</v>
      </c>
      <c r="D95" t="s">
        <v>13</v>
      </c>
      <c r="E95">
        <v>3720.24</v>
      </c>
      <c r="F95">
        <v>36</v>
      </c>
      <c r="G95" t="s">
        <v>22</v>
      </c>
      <c r="H95">
        <v>1050.6400000000001</v>
      </c>
      <c r="I95" s="14" t="s">
        <v>275</v>
      </c>
      <c r="J95" t="s">
        <v>15</v>
      </c>
      <c r="K95">
        <v>0.22</v>
      </c>
      <c r="L95" t="s">
        <v>16</v>
      </c>
      <c r="M95" t="s">
        <v>29</v>
      </c>
      <c r="N95" t="s">
        <v>69</v>
      </c>
    </row>
    <row r="96" spans="1:14" x14ac:dyDescent="0.3">
      <c r="A96">
        <v>1040</v>
      </c>
      <c r="B96" s="13">
        <v>44995</v>
      </c>
      <c r="C96" t="s">
        <v>31</v>
      </c>
      <c r="D96" t="s">
        <v>13</v>
      </c>
      <c r="E96">
        <v>2331.27</v>
      </c>
      <c r="F96">
        <v>13</v>
      </c>
      <c r="G96" t="s">
        <v>14</v>
      </c>
      <c r="H96">
        <v>2750.18</v>
      </c>
      <c r="I96">
        <v>2882.85</v>
      </c>
      <c r="J96" t="s">
        <v>20</v>
      </c>
      <c r="K96">
        <v>0.24</v>
      </c>
      <c r="L96" t="s">
        <v>21</v>
      </c>
      <c r="M96" t="s">
        <v>29</v>
      </c>
      <c r="N96" t="s">
        <v>67</v>
      </c>
    </row>
    <row r="97" spans="1:14" x14ac:dyDescent="0.3">
      <c r="A97">
        <v>1085</v>
      </c>
      <c r="B97" s="13">
        <v>45244</v>
      </c>
      <c r="C97" t="s">
        <v>31</v>
      </c>
      <c r="D97" t="s">
        <v>27</v>
      </c>
      <c r="E97">
        <v>2038.75</v>
      </c>
      <c r="F97">
        <v>32</v>
      </c>
      <c r="G97" t="s">
        <v>24</v>
      </c>
      <c r="H97">
        <v>1074.93</v>
      </c>
      <c r="I97">
        <v>1492.48</v>
      </c>
      <c r="J97" t="s">
        <v>20</v>
      </c>
      <c r="K97">
        <v>0.04</v>
      </c>
      <c r="L97" t="s">
        <v>21</v>
      </c>
      <c r="M97" t="s">
        <v>17</v>
      </c>
      <c r="N97" t="s">
        <v>86</v>
      </c>
    </row>
    <row r="98" spans="1:14" x14ac:dyDescent="0.3">
      <c r="A98">
        <v>1080</v>
      </c>
      <c r="B98" s="13">
        <v>45162</v>
      </c>
      <c r="C98" t="s">
        <v>23</v>
      </c>
      <c r="D98" t="s">
        <v>19</v>
      </c>
      <c r="E98">
        <v>1493.95</v>
      </c>
      <c r="F98">
        <v>17</v>
      </c>
      <c r="G98" t="s">
        <v>24</v>
      </c>
      <c r="H98">
        <v>2742.67</v>
      </c>
      <c r="I98">
        <v>2979.64</v>
      </c>
      <c r="J98" t="s">
        <v>20</v>
      </c>
      <c r="K98">
        <v>0.01</v>
      </c>
      <c r="L98" t="s">
        <v>16</v>
      </c>
      <c r="M98" t="s">
        <v>17</v>
      </c>
      <c r="N98" t="s">
        <v>81</v>
      </c>
    </row>
    <row r="99" spans="1:14" x14ac:dyDescent="0.3">
      <c r="A99">
        <v>1082</v>
      </c>
      <c r="B99" s="13">
        <v>45260</v>
      </c>
      <c r="C99" t="s">
        <v>26</v>
      </c>
      <c r="D99" t="s">
        <v>27</v>
      </c>
      <c r="E99">
        <v>6261.9</v>
      </c>
      <c r="F99">
        <v>41</v>
      </c>
      <c r="G99" t="s">
        <v>28</v>
      </c>
      <c r="H99">
        <v>1196.42</v>
      </c>
      <c r="I99">
        <v>1444.97</v>
      </c>
      <c r="J99" t="s">
        <v>20</v>
      </c>
      <c r="K99">
        <v>0.21</v>
      </c>
      <c r="L99" t="s">
        <v>25</v>
      </c>
      <c r="M99" t="s">
        <v>29</v>
      </c>
      <c r="N99" t="s">
        <v>63</v>
      </c>
    </row>
    <row r="100" spans="1:14" x14ac:dyDescent="0.3">
      <c r="A100">
        <v>1053</v>
      </c>
      <c r="B100" s="13">
        <v>45063</v>
      </c>
      <c r="C100" t="s">
        <v>23</v>
      </c>
      <c r="D100" t="s">
        <v>27</v>
      </c>
      <c r="E100">
        <v>7835.09</v>
      </c>
      <c r="F100">
        <v>36</v>
      </c>
      <c r="G100" t="s">
        <v>14</v>
      </c>
      <c r="H100">
        <v>4252.17</v>
      </c>
      <c r="I100">
        <v>4720.2700000000004</v>
      </c>
      <c r="J100" t="s">
        <v>15</v>
      </c>
      <c r="K100">
        <v>0.09</v>
      </c>
      <c r="L100" t="s">
        <v>16</v>
      </c>
      <c r="M100" t="s">
        <v>17</v>
      </c>
      <c r="N100" t="s">
        <v>96</v>
      </c>
    </row>
    <row r="101" spans="1:14" x14ac:dyDescent="0.3">
      <c r="A101">
        <v>1024</v>
      </c>
      <c r="B101" s="13">
        <v>45002</v>
      </c>
      <c r="C101" t="s">
        <v>12</v>
      </c>
      <c r="D101" t="s">
        <v>27</v>
      </c>
      <c r="E101">
        <v>5825.15</v>
      </c>
      <c r="F101">
        <v>46</v>
      </c>
      <c r="G101" t="s">
        <v>28</v>
      </c>
      <c r="H101">
        <v>2016.49</v>
      </c>
      <c r="I101">
        <v>2338.66</v>
      </c>
      <c r="J101" t="s">
        <v>20</v>
      </c>
      <c r="K101">
        <v>0.19</v>
      </c>
      <c r="L101" t="s">
        <v>25</v>
      </c>
      <c r="M101" t="s">
        <v>17</v>
      </c>
      <c r="N101" t="s">
        <v>100</v>
      </c>
    </row>
    <row r="102" spans="1:14" x14ac:dyDescent="0.3">
      <c r="A102">
        <v>1026</v>
      </c>
      <c r="B102" s="13">
        <v>44961</v>
      </c>
      <c r="C102" t="s">
        <v>26</v>
      </c>
      <c r="D102" t="s">
        <v>19</v>
      </c>
      <c r="E102">
        <v>1554.93</v>
      </c>
      <c r="F102">
        <v>19</v>
      </c>
      <c r="G102" t="s">
        <v>28</v>
      </c>
      <c r="H102">
        <v>1265.48</v>
      </c>
      <c r="I102">
        <v>1715.83</v>
      </c>
      <c r="J102" t="s">
        <v>15</v>
      </c>
      <c r="K102">
        <v>0.05</v>
      </c>
      <c r="L102" t="s">
        <v>21</v>
      </c>
      <c r="M102" t="s">
        <v>17</v>
      </c>
      <c r="N102" t="s">
        <v>76</v>
      </c>
    </row>
    <row r="103" spans="1:14" x14ac:dyDescent="0.3">
      <c r="A103">
        <v>1089</v>
      </c>
      <c r="B103" s="13">
        <v>44927</v>
      </c>
      <c r="C103" t="s">
        <v>31</v>
      </c>
      <c r="D103" t="s">
        <v>30</v>
      </c>
      <c r="E103">
        <v>8130.13</v>
      </c>
      <c r="F103">
        <v>35</v>
      </c>
      <c r="G103" t="s">
        <v>14</v>
      </c>
      <c r="H103">
        <v>4071.01</v>
      </c>
      <c r="I103">
        <v>4304.7</v>
      </c>
      <c r="J103" t="s">
        <v>15</v>
      </c>
      <c r="K103">
        <v>0.14000000000000001</v>
      </c>
      <c r="L103" t="s">
        <v>21</v>
      </c>
      <c r="M103" t="s">
        <v>29</v>
      </c>
      <c r="N103" t="s">
        <v>62</v>
      </c>
    </row>
    <row r="104" spans="1:14" x14ac:dyDescent="0.3">
      <c r="A104">
        <v>1060</v>
      </c>
      <c r="B104" s="13">
        <v>45222</v>
      </c>
      <c r="C104" t="s">
        <v>23</v>
      </c>
      <c r="D104" t="s">
        <v>19</v>
      </c>
      <c r="E104">
        <v>6395.95</v>
      </c>
      <c r="F104">
        <v>46</v>
      </c>
      <c r="G104" t="s">
        <v>14</v>
      </c>
      <c r="H104">
        <v>1747.05</v>
      </c>
      <c r="I104">
        <v>1830.27</v>
      </c>
      <c r="J104" t="s">
        <v>15</v>
      </c>
      <c r="K104">
        <v>0.15</v>
      </c>
      <c r="L104" t="s">
        <v>25</v>
      </c>
      <c r="M104" t="s">
        <v>17</v>
      </c>
      <c r="N104" t="s">
        <v>81</v>
      </c>
    </row>
    <row r="105" spans="1:14" x14ac:dyDescent="0.3">
      <c r="A105">
        <v>1041</v>
      </c>
      <c r="B105" s="13">
        <v>45246</v>
      </c>
      <c r="C105" t="s">
        <v>18</v>
      </c>
      <c r="D105" t="s">
        <v>27</v>
      </c>
      <c r="E105">
        <v>3942.84</v>
      </c>
      <c r="F105">
        <v>40</v>
      </c>
      <c r="G105" t="s">
        <v>22</v>
      </c>
      <c r="H105">
        <v>601.86</v>
      </c>
      <c r="I105">
        <v>1067.53</v>
      </c>
      <c r="J105" t="s">
        <v>15</v>
      </c>
      <c r="K105">
        <v>0.18</v>
      </c>
      <c r="L105" t="s">
        <v>16</v>
      </c>
      <c r="M105" t="s">
        <v>29</v>
      </c>
      <c r="N105" t="s">
        <v>58</v>
      </c>
    </row>
    <row r="106" spans="1:14" x14ac:dyDescent="0.3">
      <c r="A106">
        <v>1029</v>
      </c>
      <c r="B106" s="13">
        <v>44986</v>
      </c>
      <c r="C106" t="s">
        <v>18</v>
      </c>
      <c r="D106" t="s">
        <v>13</v>
      </c>
      <c r="E106">
        <v>6773.89</v>
      </c>
      <c r="F106">
        <v>28</v>
      </c>
      <c r="G106" t="s">
        <v>14</v>
      </c>
      <c r="H106">
        <v>2873.53</v>
      </c>
      <c r="I106">
        <v>3108.3</v>
      </c>
      <c r="J106" t="s">
        <v>15</v>
      </c>
      <c r="K106">
        <v>0.15</v>
      </c>
      <c r="L106" t="s">
        <v>21</v>
      </c>
      <c r="M106" t="s">
        <v>17</v>
      </c>
      <c r="N106" t="s">
        <v>80</v>
      </c>
    </row>
    <row r="107" spans="1:14" x14ac:dyDescent="0.3">
      <c r="A107">
        <v>1015</v>
      </c>
      <c r="B107" s="13">
        <v>45246</v>
      </c>
      <c r="C107" t="s">
        <v>12</v>
      </c>
      <c r="D107" t="s">
        <v>13</v>
      </c>
      <c r="E107">
        <v>2673.06</v>
      </c>
      <c r="F107">
        <v>1</v>
      </c>
      <c r="G107" t="s">
        <v>24</v>
      </c>
      <c r="H107">
        <v>2928.74</v>
      </c>
      <c r="I107">
        <v>3027.74</v>
      </c>
      <c r="J107" t="s">
        <v>15</v>
      </c>
      <c r="K107">
        <v>0.15</v>
      </c>
      <c r="L107" t="s">
        <v>25</v>
      </c>
      <c r="M107" t="s">
        <v>17</v>
      </c>
      <c r="N107" t="s">
        <v>83</v>
      </c>
    </row>
    <row r="108" spans="1:14" x14ac:dyDescent="0.3">
      <c r="A108">
        <v>1045</v>
      </c>
      <c r="B108" s="13">
        <v>45275</v>
      </c>
      <c r="C108" t="s">
        <v>18</v>
      </c>
      <c r="D108" t="s">
        <v>27</v>
      </c>
      <c r="E108">
        <v>3517.4</v>
      </c>
      <c r="F108">
        <v>42</v>
      </c>
      <c r="G108" t="s">
        <v>14</v>
      </c>
      <c r="H108">
        <v>3587.74</v>
      </c>
      <c r="I108">
        <v>3745.91</v>
      </c>
      <c r="J108" t="s">
        <v>20</v>
      </c>
      <c r="K108">
        <v>0.1</v>
      </c>
      <c r="L108" t="s">
        <v>16</v>
      </c>
      <c r="M108" t="s">
        <v>29</v>
      </c>
      <c r="N108" t="s">
        <v>58</v>
      </c>
    </row>
    <row r="109" spans="1:14" x14ac:dyDescent="0.3">
      <c r="A109">
        <v>1065</v>
      </c>
      <c r="B109" s="13">
        <v>45254</v>
      </c>
      <c r="C109" t="s">
        <v>23</v>
      </c>
      <c r="D109" t="s">
        <v>13</v>
      </c>
      <c r="E109">
        <v>9183.11</v>
      </c>
      <c r="F109">
        <v>18</v>
      </c>
      <c r="G109" t="s">
        <v>22</v>
      </c>
      <c r="H109">
        <v>1239.0899999999999</v>
      </c>
      <c r="I109">
        <v>1273.98</v>
      </c>
      <c r="J109" t="s">
        <v>15</v>
      </c>
      <c r="K109">
        <v>0.02</v>
      </c>
      <c r="L109" t="s">
        <v>25</v>
      </c>
      <c r="M109" t="s">
        <v>17</v>
      </c>
      <c r="N109" t="s">
        <v>69</v>
      </c>
    </row>
    <row r="110" spans="1:14" x14ac:dyDescent="0.3">
      <c r="A110">
        <v>1089</v>
      </c>
      <c r="B110" s="13">
        <v>45193</v>
      </c>
      <c r="C110" t="s">
        <v>23</v>
      </c>
      <c r="D110" t="s">
        <v>27</v>
      </c>
      <c r="E110">
        <v>2975.99</v>
      </c>
      <c r="F110">
        <v>48</v>
      </c>
      <c r="G110" t="s">
        <v>22</v>
      </c>
      <c r="H110">
        <v>2246.67</v>
      </c>
      <c r="I110">
        <v>2486.14</v>
      </c>
      <c r="J110" t="s">
        <v>15</v>
      </c>
      <c r="K110">
        <v>0.03</v>
      </c>
      <c r="L110" t="s">
        <v>16</v>
      </c>
      <c r="M110" t="s">
        <v>17</v>
      </c>
      <c r="N110" t="s">
        <v>96</v>
      </c>
    </row>
    <row r="111" spans="1:14" x14ac:dyDescent="0.3">
      <c r="A111">
        <v>1071</v>
      </c>
      <c r="B111" s="13">
        <v>45287</v>
      </c>
      <c r="C111" t="s">
        <v>18</v>
      </c>
      <c r="D111" t="s">
        <v>13</v>
      </c>
      <c r="E111">
        <v>4752.88</v>
      </c>
      <c r="F111">
        <v>40</v>
      </c>
      <c r="G111" t="s">
        <v>22</v>
      </c>
      <c r="H111">
        <v>1447.72</v>
      </c>
      <c r="I111">
        <v>1875.75</v>
      </c>
      <c r="J111" t="s">
        <v>15</v>
      </c>
      <c r="K111">
        <v>0.13</v>
      </c>
      <c r="L111" t="s">
        <v>16</v>
      </c>
      <c r="M111" t="s">
        <v>17</v>
      </c>
      <c r="N111" t="s">
        <v>80</v>
      </c>
    </row>
    <row r="112" spans="1:14" x14ac:dyDescent="0.3">
      <c r="A112">
        <v>1009</v>
      </c>
      <c r="B112" s="13">
        <v>45155</v>
      </c>
      <c r="C112" t="s">
        <v>23</v>
      </c>
      <c r="D112" t="s">
        <v>19</v>
      </c>
      <c r="E112">
        <v>8912.4</v>
      </c>
      <c r="F112">
        <v>33</v>
      </c>
      <c r="G112" t="s">
        <v>14</v>
      </c>
      <c r="H112">
        <v>450.72</v>
      </c>
      <c r="I112" s="14" t="s">
        <v>274</v>
      </c>
      <c r="J112" t="s">
        <v>20</v>
      </c>
      <c r="K112">
        <v>0.11</v>
      </c>
      <c r="L112" t="s">
        <v>16</v>
      </c>
      <c r="M112" t="s">
        <v>29</v>
      </c>
      <c r="N112" t="s">
        <v>81</v>
      </c>
    </row>
    <row r="113" spans="1:14" x14ac:dyDescent="0.3">
      <c r="A113">
        <v>1088</v>
      </c>
      <c r="B113" s="13">
        <v>45196</v>
      </c>
      <c r="C113" t="s">
        <v>12</v>
      </c>
      <c r="D113" t="s">
        <v>30</v>
      </c>
      <c r="E113">
        <v>7106.44</v>
      </c>
      <c r="F113">
        <v>12</v>
      </c>
      <c r="G113" t="s">
        <v>14</v>
      </c>
      <c r="H113">
        <v>4389.24</v>
      </c>
      <c r="I113" s="14" t="s">
        <v>273</v>
      </c>
      <c r="J113" t="s">
        <v>20</v>
      </c>
      <c r="K113">
        <v>0.15</v>
      </c>
      <c r="L113" t="s">
        <v>16</v>
      </c>
      <c r="M113" t="s">
        <v>17</v>
      </c>
      <c r="N113" t="s">
        <v>72</v>
      </c>
    </row>
    <row r="114" spans="1:14" x14ac:dyDescent="0.3">
      <c r="A114">
        <v>1001</v>
      </c>
      <c r="B114" s="13">
        <v>45242</v>
      </c>
      <c r="C114" t="s">
        <v>26</v>
      </c>
      <c r="D114" t="s">
        <v>30</v>
      </c>
      <c r="E114">
        <v>715.81</v>
      </c>
      <c r="F114">
        <v>8</v>
      </c>
      <c r="G114" t="s">
        <v>28</v>
      </c>
      <c r="H114">
        <v>3657.91</v>
      </c>
      <c r="I114">
        <v>3729.27</v>
      </c>
      <c r="J114" t="s">
        <v>15</v>
      </c>
      <c r="K114">
        <v>0.09</v>
      </c>
      <c r="L114" t="s">
        <v>25</v>
      </c>
      <c r="M114" t="s">
        <v>17</v>
      </c>
      <c r="N114" t="s">
        <v>71</v>
      </c>
    </row>
    <row r="115" spans="1:14" x14ac:dyDescent="0.3">
      <c r="A115">
        <v>1008</v>
      </c>
      <c r="B115" s="13">
        <v>45212</v>
      </c>
      <c r="C115" t="s">
        <v>12</v>
      </c>
      <c r="D115" t="s">
        <v>19</v>
      </c>
      <c r="E115">
        <v>1558.3</v>
      </c>
      <c r="F115">
        <v>24</v>
      </c>
      <c r="G115" t="s">
        <v>28</v>
      </c>
      <c r="H115">
        <v>1542.24</v>
      </c>
      <c r="I115">
        <v>1739.45</v>
      </c>
      <c r="J115" t="s">
        <v>20</v>
      </c>
      <c r="K115">
        <v>0.21</v>
      </c>
      <c r="L115" t="s">
        <v>25</v>
      </c>
      <c r="M115" t="s">
        <v>17</v>
      </c>
      <c r="N115" t="s">
        <v>74</v>
      </c>
    </row>
    <row r="116" spans="1:14" x14ac:dyDescent="0.3">
      <c r="A116">
        <v>1088</v>
      </c>
      <c r="B116" s="13">
        <v>45217</v>
      </c>
      <c r="C116" t="s">
        <v>12</v>
      </c>
      <c r="D116" t="s">
        <v>19</v>
      </c>
      <c r="E116">
        <v>177.63</v>
      </c>
      <c r="F116">
        <v>16</v>
      </c>
      <c r="G116" t="s">
        <v>24</v>
      </c>
      <c r="H116">
        <v>3016.9</v>
      </c>
      <c r="I116">
        <v>3040.73</v>
      </c>
      <c r="J116" t="s">
        <v>15</v>
      </c>
      <c r="K116">
        <v>0.26</v>
      </c>
      <c r="L116" t="s">
        <v>25</v>
      </c>
      <c r="M116" t="s">
        <v>17</v>
      </c>
      <c r="N116" t="s">
        <v>74</v>
      </c>
    </row>
    <row r="117" spans="1:14" x14ac:dyDescent="0.3">
      <c r="A117">
        <v>1063</v>
      </c>
      <c r="B117" s="13">
        <v>45139</v>
      </c>
      <c r="C117" t="s">
        <v>23</v>
      </c>
      <c r="D117" t="s">
        <v>27</v>
      </c>
      <c r="E117">
        <v>6346.13</v>
      </c>
      <c r="F117">
        <v>4</v>
      </c>
      <c r="G117" t="s">
        <v>28</v>
      </c>
      <c r="H117">
        <v>1046.26</v>
      </c>
      <c r="I117">
        <v>1475.29</v>
      </c>
      <c r="J117" t="s">
        <v>20</v>
      </c>
      <c r="K117">
        <v>0.09</v>
      </c>
      <c r="L117" t="s">
        <v>25</v>
      </c>
      <c r="M117" t="s">
        <v>17</v>
      </c>
      <c r="N117" t="s">
        <v>96</v>
      </c>
    </row>
    <row r="118" spans="1:14" x14ac:dyDescent="0.3">
      <c r="A118">
        <v>1011</v>
      </c>
      <c r="B118" s="13">
        <v>45091</v>
      </c>
      <c r="C118" t="s">
        <v>26</v>
      </c>
      <c r="D118" t="s">
        <v>27</v>
      </c>
      <c r="E118">
        <v>4531.97</v>
      </c>
      <c r="F118">
        <v>38</v>
      </c>
      <c r="G118" t="s">
        <v>24</v>
      </c>
      <c r="H118">
        <v>4456.67</v>
      </c>
      <c r="I118">
        <v>4642.46</v>
      </c>
      <c r="J118" t="s">
        <v>15</v>
      </c>
      <c r="K118">
        <v>0.06</v>
      </c>
      <c r="L118" t="s">
        <v>25</v>
      </c>
      <c r="M118" t="s">
        <v>29</v>
      </c>
      <c r="N118" t="s">
        <v>63</v>
      </c>
    </row>
    <row r="119" spans="1:14" x14ac:dyDescent="0.3">
      <c r="A119">
        <v>1081</v>
      </c>
      <c r="B119" s="13">
        <v>44931</v>
      </c>
      <c r="C119" t="s">
        <v>23</v>
      </c>
      <c r="D119" t="s">
        <v>27</v>
      </c>
      <c r="E119">
        <v>1429.32</v>
      </c>
      <c r="F119">
        <v>44</v>
      </c>
      <c r="G119" t="s">
        <v>22</v>
      </c>
      <c r="H119">
        <v>618.79</v>
      </c>
      <c r="I119">
        <v>938.04</v>
      </c>
      <c r="J119" t="s">
        <v>20</v>
      </c>
      <c r="K119">
        <v>0.03</v>
      </c>
      <c r="L119" t="s">
        <v>16</v>
      </c>
      <c r="M119" t="s">
        <v>29</v>
      </c>
      <c r="N119" t="s">
        <v>96</v>
      </c>
    </row>
    <row r="120" spans="1:14" x14ac:dyDescent="0.3">
      <c r="A120">
        <v>1008</v>
      </c>
      <c r="B120" s="13">
        <v>45265</v>
      </c>
      <c r="C120" t="s">
        <v>31</v>
      </c>
      <c r="D120" t="s">
        <v>13</v>
      </c>
      <c r="E120">
        <v>9583.5499999999993</v>
      </c>
      <c r="F120">
        <v>27</v>
      </c>
      <c r="G120" t="s">
        <v>28</v>
      </c>
      <c r="H120">
        <v>68.989999999999995</v>
      </c>
      <c r="I120">
        <v>429.29</v>
      </c>
      <c r="J120" t="s">
        <v>20</v>
      </c>
      <c r="K120">
        <v>0.18</v>
      </c>
      <c r="L120" t="s">
        <v>21</v>
      </c>
      <c r="M120" t="s">
        <v>17</v>
      </c>
      <c r="N120" t="s">
        <v>67</v>
      </c>
    </row>
    <row r="121" spans="1:14" x14ac:dyDescent="0.3">
      <c r="A121">
        <v>1035</v>
      </c>
      <c r="B121" s="13">
        <v>45004</v>
      </c>
      <c r="C121" t="s">
        <v>23</v>
      </c>
      <c r="D121" t="s">
        <v>27</v>
      </c>
      <c r="E121">
        <v>5343.63</v>
      </c>
      <c r="F121">
        <v>9</v>
      </c>
      <c r="G121" t="s">
        <v>14</v>
      </c>
      <c r="H121">
        <v>2534.94</v>
      </c>
      <c r="I121">
        <v>2755.56</v>
      </c>
      <c r="J121" t="s">
        <v>20</v>
      </c>
      <c r="K121">
        <v>0.13</v>
      </c>
      <c r="L121" t="s">
        <v>21</v>
      </c>
      <c r="M121" t="s">
        <v>17</v>
      </c>
      <c r="N121" t="s">
        <v>96</v>
      </c>
    </row>
    <row r="122" spans="1:14" x14ac:dyDescent="0.3">
      <c r="A122">
        <v>1035</v>
      </c>
      <c r="B122" s="13">
        <v>44988</v>
      </c>
      <c r="C122" t="s">
        <v>23</v>
      </c>
      <c r="D122" t="s">
        <v>19</v>
      </c>
      <c r="E122">
        <v>2494.7399999999998</v>
      </c>
      <c r="F122">
        <v>47</v>
      </c>
      <c r="G122" t="s">
        <v>28</v>
      </c>
      <c r="H122">
        <v>2936.48</v>
      </c>
      <c r="I122">
        <v>3096.64</v>
      </c>
      <c r="J122" t="s">
        <v>15</v>
      </c>
      <c r="K122">
        <v>0.06</v>
      </c>
      <c r="L122" t="s">
        <v>25</v>
      </c>
      <c r="M122" t="s">
        <v>29</v>
      </c>
      <c r="N122" t="s">
        <v>81</v>
      </c>
    </row>
    <row r="123" spans="1:14" x14ac:dyDescent="0.3">
      <c r="A123">
        <v>1033</v>
      </c>
      <c r="B123" s="13">
        <v>45058</v>
      </c>
      <c r="C123" t="s">
        <v>23</v>
      </c>
      <c r="D123" t="s">
        <v>30</v>
      </c>
      <c r="E123">
        <v>5055.9799999999996</v>
      </c>
      <c r="F123">
        <v>16</v>
      </c>
      <c r="G123" t="s">
        <v>24</v>
      </c>
      <c r="H123">
        <v>2915.88</v>
      </c>
      <c r="I123">
        <v>3397.36</v>
      </c>
      <c r="J123" t="s">
        <v>15</v>
      </c>
      <c r="K123">
        <v>0.2</v>
      </c>
      <c r="L123" t="s">
        <v>25</v>
      </c>
      <c r="M123" t="s">
        <v>17</v>
      </c>
      <c r="N123" t="s">
        <v>60</v>
      </c>
    </row>
    <row r="124" spans="1:14" x14ac:dyDescent="0.3">
      <c r="A124">
        <v>1005</v>
      </c>
      <c r="B124" s="13">
        <v>45015</v>
      </c>
      <c r="C124" t="s">
        <v>26</v>
      </c>
      <c r="D124" t="s">
        <v>13</v>
      </c>
      <c r="E124">
        <v>6828.24</v>
      </c>
      <c r="F124">
        <v>12</v>
      </c>
      <c r="G124" t="s">
        <v>28</v>
      </c>
      <c r="H124">
        <v>319.83</v>
      </c>
      <c r="I124" s="14" t="s">
        <v>272</v>
      </c>
      <c r="J124" t="s">
        <v>15</v>
      </c>
      <c r="K124">
        <v>0.04</v>
      </c>
      <c r="L124" t="s">
        <v>21</v>
      </c>
      <c r="M124" t="s">
        <v>17</v>
      </c>
      <c r="N124" t="s">
        <v>55</v>
      </c>
    </row>
    <row r="125" spans="1:14" x14ac:dyDescent="0.3">
      <c r="A125">
        <v>1041</v>
      </c>
      <c r="B125" s="13">
        <v>45163</v>
      </c>
      <c r="C125" t="s">
        <v>23</v>
      </c>
      <c r="D125" t="s">
        <v>27</v>
      </c>
      <c r="E125">
        <v>854.77</v>
      </c>
      <c r="F125">
        <v>31</v>
      </c>
      <c r="G125" t="s">
        <v>22</v>
      </c>
      <c r="H125">
        <v>1604.52</v>
      </c>
      <c r="I125">
        <v>1756.34</v>
      </c>
      <c r="J125" t="s">
        <v>20</v>
      </c>
      <c r="K125">
        <v>0.17</v>
      </c>
      <c r="L125" t="s">
        <v>16</v>
      </c>
      <c r="M125" t="s">
        <v>17</v>
      </c>
      <c r="N125" t="s">
        <v>96</v>
      </c>
    </row>
    <row r="126" spans="1:14" x14ac:dyDescent="0.3">
      <c r="A126">
        <v>1028</v>
      </c>
      <c r="B126" s="13">
        <v>44968</v>
      </c>
      <c r="C126" t="s">
        <v>26</v>
      </c>
      <c r="D126" t="s">
        <v>13</v>
      </c>
      <c r="E126">
        <v>2819.57</v>
      </c>
      <c r="F126">
        <v>24</v>
      </c>
      <c r="G126" t="s">
        <v>14</v>
      </c>
      <c r="H126">
        <v>2521.0300000000002</v>
      </c>
      <c r="I126">
        <v>2766.05</v>
      </c>
      <c r="J126" t="s">
        <v>20</v>
      </c>
      <c r="K126">
        <v>0.16</v>
      </c>
      <c r="L126" t="s">
        <v>25</v>
      </c>
      <c r="M126" t="s">
        <v>17</v>
      </c>
      <c r="N126" t="s">
        <v>55</v>
      </c>
    </row>
    <row r="127" spans="1:14" x14ac:dyDescent="0.3">
      <c r="A127">
        <v>1007</v>
      </c>
      <c r="B127" s="13">
        <v>45015</v>
      </c>
      <c r="C127" t="s">
        <v>18</v>
      </c>
      <c r="D127" t="s">
        <v>13</v>
      </c>
      <c r="E127">
        <v>8088.96</v>
      </c>
      <c r="F127">
        <v>14</v>
      </c>
      <c r="G127" t="s">
        <v>24</v>
      </c>
      <c r="H127">
        <v>1122.07</v>
      </c>
      <c r="I127">
        <v>1608.76</v>
      </c>
      <c r="J127" t="s">
        <v>15</v>
      </c>
      <c r="K127">
        <v>0.22</v>
      </c>
      <c r="L127" t="s">
        <v>16</v>
      </c>
      <c r="M127" t="s">
        <v>17</v>
      </c>
      <c r="N127" t="s">
        <v>80</v>
      </c>
    </row>
    <row r="128" spans="1:14" x14ac:dyDescent="0.3">
      <c r="A128">
        <v>1073</v>
      </c>
      <c r="B128" s="13">
        <v>45222</v>
      </c>
      <c r="C128" t="s">
        <v>31</v>
      </c>
      <c r="D128" t="s">
        <v>27</v>
      </c>
      <c r="E128">
        <v>4650.68</v>
      </c>
      <c r="F128">
        <v>45</v>
      </c>
      <c r="G128" t="s">
        <v>14</v>
      </c>
      <c r="H128">
        <v>4369.5</v>
      </c>
      <c r="I128">
        <v>4381.8900000000003</v>
      </c>
      <c r="J128" t="s">
        <v>20</v>
      </c>
      <c r="K128">
        <v>0.02</v>
      </c>
      <c r="L128" t="s">
        <v>21</v>
      </c>
      <c r="M128" t="s">
        <v>17</v>
      </c>
      <c r="N128" t="s">
        <v>86</v>
      </c>
    </row>
    <row r="129" spans="1:14" x14ac:dyDescent="0.3">
      <c r="A129">
        <v>1072</v>
      </c>
      <c r="B129" s="13">
        <v>45254</v>
      </c>
      <c r="C129" t="s">
        <v>26</v>
      </c>
      <c r="D129" t="s">
        <v>13</v>
      </c>
      <c r="E129">
        <v>5511.11</v>
      </c>
      <c r="F129">
        <v>25</v>
      </c>
      <c r="G129" t="s">
        <v>14</v>
      </c>
      <c r="H129">
        <v>481.19</v>
      </c>
      <c r="I129">
        <v>693.4</v>
      </c>
      <c r="J129" t="s">
        <v>15</v>
      </c>
      <c r="K129">
        <v>0.27</v>
      </c>
      <c r="L129" t="s">
        <v>21</v>
      </c>
      <c r="M129" t="s">
        <v>17</v>
      </c>
      <c r="N129" t="s">
        <v>55</v>
      </c>
    </row>
    <row r="130" spans="1:14" x14ac:dyDescent="0.3">
      <c r="A130">
        <v>1012</v>
      </c>
      <c r="B130" s="13">
        <v>45221</v>
      </c>
      <c r="C130" t="s">
        <v>18</v>
      </c>
      <c r="D130" t="s">
        <v>30</v>
      </c>
      <c r="E130">
        <v>4384.88</v>
      </c>
      <c r="F130">
        <v>34</v>
      </c>
      <c r="G130" t="s">
        <v>24</v>
      </c>
      <c r="H130">
        <v>2462.5500000000002</v>
      </c>
      <c r="I130">
        <v>2521.77</v>
      </c>
      <c r="J130" t="s">
        <v>15</v>
      </c>
      <c r="K130">
        <v>0.21</v>
      </c>
      <c r="L130" t="s">
        <v>25</v>
      </c>
      <c r="M130" t="s">
        <v>17</v>
      </c>
      <c r="N130" t="s">
        <v>64</v>
      </c>
    </row>
    <row r="131" spans="1:14" x14ac:dyDescent="0.3">
      <c r="A131">
        <v>1034</v>
      </c>
      <c r="B131" s="13">
        <v>45030</v>
      </c>
      <c r="C131" t="s">
        <v>26</v>
      </c>
      <c r="D131" t="s">
        <v>19</v>
      </c>
      <c r="E131">
        <v>534.61</v>
      </c>
      <c r="F131">
        <v>3</v>
      </c>
      <c r="G131" t="s">
        <v>14</v>
      </c>
      <c r="H131">
        <v>3472.51</v>
      </c>
      <c r="I131">
        <v>3732</v>
      </c>
      <c r="J131" t="s">
        <v>15</v>
      </c>
      <c r="K131">
        <v>0.06</v>
      </c>
      <c r="L131" t="s">
        <v>16</v>
      </c>
      <c r="M131" t="s">
        <v>29</v>
      </c>
      <c r="N131" t="s">
        <v>76</v>
      </c>
    </row>
    <row r="132" spans="1:14" x14ac:dyDescent="0.3">
      <c r="A132">
        <v>1033</v>
      </c>
      <c r="B132" s="13">
        <v>44940</v>
      </c>
      <c r="C132" t="s">
        <v>26</v>
      </c>
      <c r="D132" t="s">
        <v>19</v>
      </c>
      <c r="E132">
        <v>1740.92</v>
      </c>
      <c r="F132">
        <v>24</v>
      </c>
      <c r="G132" t="s">
        <v>14</v>
      </c>
      <c r="H132">
        <v>1345.67</v>
      </c>
      <c r="I132">
        <v>1367.76</v>
      </c>
      <c r="J132" t="s">
        <v>15</v>
      </c>
      <c r="K132">
        <v>0.06</v>
      </c>
      <c r="L132" t="s">
        <v>25</v>
      </c>
      <c r="M132" t="s">
        <v>29</v>
      </c>
      <c r="N132" t="s">
        <v>76</v>
      </c>
    </row>
    <row r="133" spans="1:14" x14ac:dyDescent="0.3">
      <c r="A133">
        <v>1048</v>
      </c>
      <c r="B133" s="13">
        <v>45214</v>
      </c>
      <c r="C133" t="s">
        <v>31</v>
      </c>
      <c r="D133" t="s">
        <v>30</v>
      </c>
      <c r="E133">
        <v>4510.8599999999997</v>
      </c>
      <c r="F133">
        <v>42</v>
      </c>
      <c r="G133" t="s">
        <v>28</v>
      </c>
      <c r="H133">
        <v>3139.99</v>
      </c>
      <c r="I133">
        <v>3349.37</v>
      </c>
      <c r="J133" t="s">
        <v>20</v>
      </c>
      <c r="K133">
        <v>0.13</v>
      </c>
      <c r="L133" t="s">
        <v>21</v>
      </c>
      <c r="M133" t="s">
        <v>17</v>
      </c>
      <c r="N133" t="s">
        <v>62</v>
      </c>
    </row>
    <row r="134" spans="1:14" x14ac:dyDescent="0.3">
      <c r="A134">
        <v>1023</v>
      </c>
      <c r="B134" s="13">
        <v>45105</v>
      </c>
      <c r="C134" t="s">
        <v>12</v>
      </c>
      <c r="D134" t="s">
        <v>13</v>
      </c>
      <c r="E134">
        <v>2170.94</v>
      </c>
      <c r="F134">
        <v>9</v>
      </c>
      <c r="G134" t="s">
        <v>14</v>
      </c>
      <c r="H134">
        <v>4155.46</v>
      </c>
      <c r="I134">
        <v>4273.6000000000004</v>
      </c>
      <c r="J134" t="s">
        <v>20</v>
      </c>
      <c r="K134">
        <v>0.25</v>
      </c>
      <c r="L134" t="s">
        <v>16</v>
      </c>
      <c r="M134" t="s">
        <v>17</v>
      </c>
      <c r="N134" t="s">
        <v>83</v>
      </c>
    </row>
    <row r="135" spans="1:14" x14ac:dyDescent="0.3">
      <c r="A135">
        <v>1062</v>
      </c>
      <c r="B135" s="13">
        <v>45051</v>
      </c>
      <c r="C135" t="s">
        <v>12</v>
      </c>
      <c r="D135" t="s">
        <v>27</v>
      </c>
      <c r="E135">
        <v>594.79</v>
      </c>
      <c r="F135">
        <v>26</v>
      </c>
      <c r="G135" t="s">
        <v>14</v>
      </c>
      <c r="H135">
        <v>992.17</v>
      </c>
      <c r="I135">
        <v>1263.49</v>
      </c>
      <c r="J135" t="s">
        <v>20</v>
      </c>
      <c r="K135">
        <v>0.25</v>
      </c>
      <c r="L135" t="s">
        <v>25</v>
      </c>
      <c r="M135" t="s">
        <v>17</v>
      </c>
      <c r="N135" t="s">
        <v>100</v>
      </c>
    </row>
    <row r="136" spans="1:14" x14ac:dyDescent="0.3">
      <c r="A136">
        <v>1088</v>
      </c>
      <c r="B136" s="13">
        <v>45279</v>
      </c>
      <c r="C136" t="s">
        <v>26</v>
      </c>
      <c r="D136" t="s">
        <v>13</v>
      </c>
      <c r="E136">
        <v>8452.1299999999992</v>
      </c>
      <c r="F136">
        <v>20</v>
      </c>
      <c r="G136" t="s">
        <v>14</v>
      </c>
      <c r="H136">
        <v>4590.24</v>
      </c>
      <c r="I136">
        <v>5088.28</v>
      </c>
      <c r="J136" t="s">
        <v>15</v>
      </c>
      <c r="K136">
        <v>0.16</v>
      </c>
      <c r="L136" t="s">
        <v>25</v>
      </c>
      <c r="M136" t="s">
        <v>17</v>
      </c>
      <c r="N136" t="s">
        <v>55</v>
      </c>
    </row>
    <row r="137" spans="1:14" x14ac:dyDescent="0.3">
      <c r="A137">
        <v>1037</v>
      </c>
      <c r="B137" s="13">
        <v>44949</v>
      </c>
      <c r="C137" t="s">
        <v>23</v>
      </c>
      <c r="D137" t="s">
        <v>30</v>
      </c>
      <c r="E137">
        <v>9813.81</v>
      </c>
      <c r="F137">
        <v>40</v>
      </c>
      <c r="G137" t="s">
        <v>14</v>
      </c>
      <c r="H137">
        <v>2790.11</v>
      </c>
      <c r="I137">
        <v>3192.37</v>
      </c>
      <c r="J137" t="s">
        <v>20</v>
      </c>
      <c r="K137">
        <v>0.26</v>
      </c>
      <c r="L137" t="s">
        <v>25</v>
      </c>
      <c r="M137" t="s">
        <v>29</v>
      </c>
      <c r="N137" t="s">
        <v>60</v>
      </c>
    </row>
    <row r="138" spans="1:14" x14ac:dyDescent="0.3">
      <c r="A138">
        <v>1099</v>
      </c>
      <c r="B138" s="13">
        <v>44989</v>
      </c>
      <c r="C138" t="s">
        <v>18</v>
      </c>
      <c r="D138" t="s">
        <v>13</v>
      </c>
      <c r="E138">
        <v>7952.11</v>
      </c>
      <c r="F138">
        <v>10</v>
      </c>
      <c r="G138" t="s">
        <v>24</v>
      </c>
      <c r="H138">
        <v>1531.2</v>
      </c>
      <c r="I138">
        <v>1955.56</v>
      </c>
      <c r="J138" t="s">
        <v>15</v>
      </c>
      <c r="K138">
        <v>0</v>
      </c>
      <c r="L138" t="s">
        <v>21</v>
      </c>
      <c r="M138" t="s">
        <v>29</v>
      </c>
      <c r="N138" t="s">
        <v>80</v>
      </c>
    </row>
    <row r="139" spans="1:14" x14ac:dyDescent="0.3">
      <c r="A139">
        <v>1044</v>
      </c>
      <c r="B139" s="13">
        <v>45069</v>
      </c>
      <c r="C139" t="s">
        <v>23</v>
      </c>
      <c r="D139" t="s">
        <v>19</v>
      </c>
      <c r="E139">
        <v>8552.4699999999993</v>
      </c>
      <c r="F139">
        <v>19</v>
      </c>
      <c r="G139" t="s">
        <v>22</v>
      </c>
      <c r="H139">
        <v>2182.75</v>
      </c>
      <c r="I139" s="14" t="s">
        <v>271</v>
      </c>
      <c r="J139" t="s">
        <v>15</v>
      </c>
      <c r="K139">
        <v>0.01</v>
      </c>
      <c r="L139" t="s">
        <v>25</v>
      </c>
      <c r="M139" t="s">
        <v>29</v>
      </c>
      <c r="N139" t="s">
        <v>81</v>
      </c>
    </row>
    <row r="140" spans="1:14" x14ac:dyDescent="0.3">
      <c r="A140">
        <v>1086</v>
      </c>
      <c r="B140" s="13">
        <v>45079</v>
      </c>
      <c r="C140" t="s">
        <v>23</v>
      </c>
      <c r="D140" t="s">
        <v>13</v>
      </c>
      <c r="E140">
        <v>2495.5700000000002</v>
      </c>
      <c r="F140">
        <v>3</v>
      </c>
      <c r="G140" t="s">
        <v>28</v>
      </c>
      <c r="H140">
        <v>1595.35</v>
      </c>
      <c r="I140" s="14" t="s">
        <v>270</v>
      </c>
      <c r="J140" t="s">
        <v>15</v>
      </c>
      <c r="K140">
        <v>0.27</v>
      </c>
      <c r="L140" t="s">
        <v>16</v>
      </c>
      <c r="M140" t="s">
        <v>29</v>
      </c>
      <c r="N140" t="s">
        <v>69</v>
      </c>
    </row>
    <row r="141" spans="1:14" x14ac:dyDescent="0.3">
      <c r="A141">
        <v>1091</v>
      </c>
      <c r="B141" s="13">
        <v>45071</v>
      </c>
      <c r="C141" t="s">
        <v>26</v>
      </c>
      <c r="D141" t="s">
        <v>30</v>
      </c>
      <c r="E141">
        <v>9610.2099999999991</v>
      </c>
      <c r="F141">
        <v>24</v>
      </c>
      <c r="G141" t="s">
        <v>14</v>
      </c>
      <c r="H141">
        <v>3639.3</v>
      </c>
      <c r="I141">
        <v>3750.63</v>
      </c>
      <c r="J141" t="s">
        <v>15</v>
      </c>
      <c r="K141">
        <v>0.23</v>
      </c>
      <c r="L141" t="s">
        <v>25</v>
      </c>
      <c r="M141" t="s">
        <v>17</v>
      </c>
      <c r="N141" t="s">
        <v>71</v>
      </c>
    </row>
    <row r="142" spans="1:14" x14ac:dyDescent="0.3">
      <c r="A142">
        <v>1035</v>
      </c>
      <c r="B142" s="13">
        <v>45151</v>
      </c>
      <c r="C142" t="s">
        <v>26</v>
      </c>
      <c r="D142" t="s">
        <v>19</v>
      </c>
      <c r="E142">
        <v>2049.56</v>
      </c>
      <c r="F142">
        <v>5</v>
      </c>
      <c r="G142" t="s">
        <v>14</v>
      </c>
      <c r="H142">
        <v>3991.69</v>
      </c>
      <c r="I142">
        <v>4454.97</v>
      </c>
      <c r="J142" t="s">
        <v>15</v>
      </c>
      <c r="K142">
        <v>0.14000000000000001</v>
      </c>
      <c r="L142" t="s">
        <v>21</v>
      </c>
      <c r="M142" t="s">
        <v>17</v>
      </c>
      <c r="N142" t="s">
        <v>76</v>
      </c>
    </row>
    <row r="143" spans="1:14" x14ac:dyDescent="0.3">
      <c r="A143">
        <v>1065</v>
      </c>
      <c r="B143" s="13">
        <v>45235</v>
      </c>
      <c r="C143" t="s">
        <v>26</v>
      </c>
      <c r="D143" t="s">
        <v>13</v>
      </c>
      <c r="E143">
        <v>9519.16</v>
      </c>
      <c r="F143">
        <v>3</v>
      </c>
      <c r="G143" t="s">
        <v>24</v>
      </c>
      <c r="H143">
        <v>4173.04</v>
      </c>
      <c r="I143">
        <v>4362.4399999999996</v>
      </c>
      <c r="J143" t="s">
        <v>15</v>
      </c>
      <c r="K143">
        <v>0.23</v>
      </c>
      <c r="L143" t="s">
        <v>25</v>
      </c>
      <c r="M143" t="s">
        <v>17</v>
      </c>
      <c r="N143" t="s">
        <v>55</v>
      </c>
    </row>
    <row r="144" spans="1:14" x14ac:dyDescent="0.3">
      <c r="A144">
        <v>1099</v>
      </c>
      <c r="B144" s="13">
        <v>45030</v>
      </c>
      <c r="C144" t="s">
        <v>26</v>
      </c>
      <c r="D144" t="s">
        <v>13</v>
      </c>
      <c r="E144">
        <v>9948.7099999999991</v>
      </c>
      <c r="F144">
        <v>27</v>
      </c>
      <c r="G144" t="s">
        <v>22</v>
      </c>
      <c r="H144">
        <v>4929.55</v>
      </c>
      <c r="I144">
        <v>4990.33</v>
      </c>
      <c r="J144" t="s">
        <v>20</v>
      </c>
      <c r="K144">
        <v>0.28999999999999998</v>
      </c>
      <c r="L144" t="s">
        <v>21</v>
      </c>
      <c r="M144" t="s">
        <v>29</v>
      </c>
      <c r="N144" t="s">
        <v>55</v>
      </c>
    </row>
    <row r="145" spans="1:14" x14ac:dyDescent="0.3">
      <c r="A145">
        <v>1047</v>
      </c>
      <c r="B145" s="13">
        <v>45030</v>
      </c>
      <c r="C145" t="s">
        <v>12</v>
      </c>
      <c r="D145" t="s">
        <v>19</v>
      </c>
      <c r="E145">
        <v>7146.06</v>
      </c>
      <c r="F145">
        <v>16</v>
      </c>
      <c r="G145" t="s">
        <v>14</v>
      </c>
      <c r="H145">
        <v>3966.86</v>
      </c>
      <c r="I145">
        <v>4321.04</v>
      </c>
      <c r="J145" t="s">
        <v>20</v>
      </c>
      <c r="K145">
        <v>0.23</v>
      </c>
      <c r="L145" t="s">
        <v>21</v>
      </c>
      <c r="M145" t="s">
        <v>17</v>
      </c>
      <c r="N145" t="s">
        <v>74</v>
      </c>
    </row>
    <row r="146" spans="1:14" x14ac:dyDescent="0.3">
      <c r="A146">
        <v>1078</v>
      </c>
      <c r="B146" s="13">
        <v>44965</v>
      </c>
      <c r="C146" t="s">
        <v>26</v>
      </c>
      <c r="D146" t="s">
        <v>27</v>
      </c>
      <c r="E146">
        <v>9813.32</v>
      </c>
      <c r="F146">
        <v>49</v>
      </c>
      <c r="G146" t="s">
        <v>24</v>
      </c>
      <c r="H146">
        <v>3026.85</v>
      </c>
      <c r="I146">
        <v>3183.58</v>
      </c>
      <c r="J146" t="s">
        <v>20</v>
      </c>
      <c r="K146">
        <v>0.25</v>
      </c>
      <c r="L146" t="s">
        <v>16</v>
      </c>
      <c r="M146" t="s">
        <v>17</v>
      </c>
      <c r="N146" t="s">
        <v>63</v>
      </c>
    </row>
    <row r="147" spans="1:14" x14ac:dyDescent="0.3">
      <c r="A147">
        <v>1003</v>
      </c>
      <c r="B147" s="13">
        <v>45124</v>
      </c>
      <c r="C147" t="s">
        <v>12</v>
      </c>
      <c r="D147" t="s">
        <v>19</v>
      </c>
      <c r="E147">
        <v>5738.44</v>
      </c>
      <c r="F147">
        <v>15</v>
      </c>
      <c r="G147" t="s">
        <v>28</v>
      </c>
      <c r="H147">
        <v>1729.14</v>
      </c>
      <c r="I147">
        <v>1870.88</v>
      </c>
      <c r="J147" t="s">
        <v>20</v>
      </c>
      <c r="K147">
        <v>0.23</v>
      </c>
      <c r="L147" t="s">
        <v>16</v>
      </c>
      <c r="M147" t="s">
        <v>29</v>
      </c>
      <c r="N147" t="s">
        <v>74</v>
      </c>
    </row>
    <row r="148" spans="1:14" x14ac:dyDescent="0.3">
      <c r="A148">
        <v>1001</v>
      </c>
      <c r="B148" s="13">
        <v>45060</v>
      </c>
      <c r="C148" t="s">
        <v>12</v>
      </c>
      <c r="D148" t="s">
        <v>27</v>
      </c>
      <c r="E148">
        <v>2669.46</v>
      </c>
      <c r="F148">
        <v>35</v>
      </c>
      <c r="G148" t="s">
        <v>28</v>
      </c>
      <c r="H148">
        <v>2745.75</v>
      </c>
      <c r="I148">
        <v>3244.76</v>
      </c>
      <c r="J148" t="s">
        <v>15</v>
      </c>
      <c r="K148">
        <v>0.05</v>
      </c>
      <c r="L148" t="s">
        <v>25</v>
      </c>
      <c r="M148" t="s">
        <v>29</v>
      </c>
      <c r="N148" t="s">
        <v>100</v>
      </c>
    </row>
    <row r="149" spans="1:14" x14ac:dyDescent="0.3">
      <c r="A149">
        <v>1005</v>
      </c>
      <c r="B149" s="13">
        <v>44993</v>
      </c>
      <c r="C149" t="s">
        <v>26</v>
      </c>
      <c r="D149" t="s">
        <v>30</v>
      </c>
      <c r="E149">
        <v>4426.26</v>
      </c>
      <c r="F149">
        <v>12</v>
      </c>
      <c r="G149" t="s">
        <v>14</v>
      </c>
      <c r="H149">
        <v>253.29</v>
      </c>
      <c r="I149">
        <v>683.78</v>
      </c>
      <c r="J149" t="s">
        <v>15</v>
      </c>
      <c r="K149">
        <v>0.25</v>
      </c>
      <c r="L149" t="s">
        <v>21</v>
      </c>
      <c r="M149" t="s">
        <v>29</v>
      </c>
      <c r="N149" t="s">
        <v>71</v>
      </c>
    </row>
    <row r="150" spans="1:14" x14ac:dyDescent="0.3">
      <c r="A150">
        <v>1090</v>
      </c>
      <c r="B150" s="13">
        <v>45105</v>
      </c>
      <c r="C150" t="s">
        <v>31</v>
      </c>
      <c r="D150" t="s">
        <v>30</v>
      </c>
      <c r="E150">
        <v>5976.25</v>
      </c>
      <c r="F150">
        <v>41</v>
      </c>
      <c r="G150" t="s">
        <v>14</v>
      </c>
      <c r="H150">
        <v>3736.88</v>
      </c>
      <c r="I150">
        <v>3946.77</v>
      </c>
      <c r="J150" t="s">
        <v>20</v>
      </c>
      <c r="K150">
        <v>0.06</v>
      </c>
      <c r="L150" t="s">
        <v>21</v>
      </c>
      <c r="M150" t="s">
        <v>29</v>
      </c>
      <c r="N150" t="s">
        <v>62</v>
      </c>
    </row>
    <row r="151" spans="1:14" x14ac:dyDescent="0.3">
      <c r="A151">
        <v>1014</v>
      </c>
      <c r="B151" s="13">
        <v>44968</v>
      </c>
      <c r="C151" t="s">
        <v>18</v>
      </c>
      <c r="D151" t="s">
        <v>19</v>
      </c>
      <c r="E151">
        <v>823.51</v>
      </c>
      <c r="F151">
        <v>44</v>
      </c>
      <c r="G151" t="s">
        <v>22</v>
      </c>
      <c r="H151">
        <v>2257.48</v>
      </c>
      <c r="I151">
        <v>2747.81</v>
      </c>
      <c r="J151" t="s">
        <v>20</v>
      </c>
      <c r="K151">
        <v>0.27</v>
      </c>
      <c r="L151" t="s">
        <v>16</v>
      </c>
      <c r="M151" t="s">
        <v>29</v>
      </c>
      <c r="N151" t="s">
        <v>56</v>
      </c>
    </row>
    <row r="152" spans="1:14" x14ac:dyDescent="0.3">
      <c r="A152">
        <v>1027</v>
      </c>
      <c r="B152" s="13">
        <v>44941</v>
      </c>
      <c r="C152" t="s">
        <v>23</v>
      </c>
      <c r="D152" t="s">
        <v>19</v>
      </c>
      <c r="E152">
        <v>6261.2</v>
      </c>
      <c r="F152">
        <v>26</v>
      </c>
      <c r="G152" t="s">
        <v>22</v>
      </c>
      <c r="H152">
        <v>149.11000000000001</v>
      </c>
      <c r="I152">
        <v>477.67</v>
      </c>
      <c r="J152" t="s">
        <v>20</v>
      </c>
      <c r="K152">
        <v>0.14000000000000001</v>
      </c>
      <c r="L152" t="s">
        <v>16</v>
      </c>
      <c r="M152" t="s">
        <v>17</v>
      </c>
      <c r="N152" t="s">
        <v>81</v>
      </c>
    </row>
    <row r="153" spans="1:14" x14ac:dyDescent="0.3">
      <c r="A153">
        <v>1009</v>
      </c>
      <c r="B153" s="13">
        <v>45037</v>
      </c>
      <c r="C153" t="s">
        <v>12</v>
      </c>
      <c r="D153" t="s">
        <v>30</v>
      </c>
      <c r="E153">
        <v>9813.66</v>
      </c>
      <c r="F153">
        <v>47</v>
      </c>
      <c r="G153" t="s">
        <v>14</v>
      </c>
      <c r="H153">
        <v>359.41</v>
      </c>
      <c r="I153">
        <v>733</v>
      </c>
      <c r="J153" t="s">
        <v>20</v>
      </c>
      <c r="K153">
        <v>0.2</v>
      </c>
      <c r="L153" t="s">
        <v>25</v>
      </c>
      <c r="M153" t="s">
        <v>17</v>
      </c>
      <c r="N153" t="s">
        <v>72</v>
      </c>
    </row>
    <row r="154" spans="1:14" x14ac:dyDescent="0.3">
      <c r="A154">
        <v>1079</v>
      </c>
      <c r="B154" s="13">
        <v>45083</v>
      </c>
      <c r="C154" t="s">
        <v>18</v>
      </c>
      <c r="D154" t="s">
        <v>27</v>
      </c>
      <c r="E154">
        <v>1982.07</v>
      </c>
      <c r="F154">
        <v>34</v>
      </c>
      <c r="G154" t="s">
        <v>24</v>
      </c>
      <c r="H154">
        <v>1967.96</v>
      </c>
      <c r="I154">
        <v>1993.4</v>
      </c>
      <c r="J154" t="s">
        <v>20</v>
      </c>
      <c r="K154">
        <v>0.15</v>
      </c>
      <c r="L154" t="s">
        <v>21</v>
      </c>
      <c r="M154" t="s">
        <v>29</v>
      </c>
      <c r="N154" t="s">
        <v>58</v>
      </c>
    </row>
    <row r="155" spans="1:14" x14ac:dyDescent="0.3">
      <c r="A155">
        <v>1015</v>
      </c>
      <c r="B155" s="13">
        <v>45215</v>
      </c>
      <c r="C155" t="s">
        <v>31</v>
      </c>
      <c r="D155" t="s">
        <v>30</v>
      </c>
      <c r="E155">
        <v>7946.69</v>
      </c>
      <c r="F155">
        <v>23</v>
      </c>
      <c r="G155" t="s">
        <v>22</v>
      </c>
      <c r="H155">
        <v>2937.94</v>
      </c>
      <c r="I155">
        <v>3007.53</v>
      </c>
      <c r="J155" t="s">
        <v>20</v>
      </c>
      <c r="K155">
        <v>0.03</v>
      </c>
      <c r="L155" t="s">
        <v>16</v>
      </c>
      <c r="M155" t="s">
        <v>17</v>
      </c>
      <c r="N155" t="s">
        <v>62</v>
      </c>
    </row>
    <row r="156" spans="1:14" x14ac:dyDescent="0.3">
      <c r="A156">
        <v>1090</v>
      </c>
      <c r="B156" s="13">
        <v>45157</v>
      </c>
      <c r="C156" t="s">
        <v>23</v>
      </c>
      <c r="D156" t="s">
        <v>19</v>
      </c>
      <c r="E156">
        <v>9088.2000000000007</v>
      </c>
      <c r="F156">
        <v>31</v>
      </c>
      <c r="G156" t="s">
        <v>14</v>
      </c>
      <c r="H156">
        <v>2347.81</v>
      </c>
      <c r="I156">
        <v>2668.02</v>
      </c>
      <c r="J156" t="s">
        <v>20</v>
      </c>
      <c r="K156">
        <v>0.09</v>
      </c>
      <c r="L156" t="s">
        <v>25</v>
      </c>
      <c r="M156" t="s">
        <v>17</v>
      </c>
      <c r="N156" t="s">
        <v>81</v>
      </c>
    </row>
    <row r="157" spans="1:14" x14ac:dyDescent="0.3">
      <c r="A157">
        <v>1042</v>
      </c>
      <c r="B157" s="13">
        <v>45083</v>
      </c>
      <c r="C157" t="s">
        <v>23</v>
      </c>
      <c r="D157" t="s">
        <v>30</v>
      </c>
      <c r="E157">
        <v>9442.65</v>
      </c>
      <c r="F157">
        <v>20</v>
      </c>
      <c r="G157" t="s">
        <v>22</v>
      </c>
      <c r="H157">
        <v>3115.06</v>
      </c>
      <c r="I157">
        <v>3565.58</v>
      </c>
      <c r="J157" t="s">
        <v>20</v>
      </c>
      <c r="K157">
        <v>0.3</v>
      </c>
      <c r="L157" t="s">
        <v>21</v>
      </c>
      <c r="M157" t="s">
        <v>17</v>
      </c>
      <c r="N157" t="s">
        <v>60</v>
      </c>
    </row>
    <row r="158" spans="1:14" x14ac:dyDescent="0.3">
      <c r="A158">
        <v>1077</v>
      </c>
      <c r="B158" s="13">
        <v>44964</v>
      </c>
      <c r="C158" t="s">
        <v>12</v>
      </c>
      <c r="D158" t="s">
        <v>19</v>
      </c>
      <c r="E158">
        <v>9605.34</v>
      </c>
      <c r="F158">
        <v>12</v>
      </c>
      <c r="G158" t="s">
        <v>14</v>
      </c>
      <c r="H158">
        <v>2427.46</v>
      </c>
      <c r="I158">
        <v>2743.09</v>
      </c>
      <c r="J158" t="s">
        <v>15</v>
      </c>
      <c r="K158">
        <v>0.28999999999999998</v>
      </c>
      <c r="L158" t="s">
        <v>21</v>
      </c>
      <c r="M158" t="s">
        <v>17</v>
      </c>
      <c r="N158" t="s">
        <v>74</v>
      </c>
    </row>
    <row r="159" spans="1:14" x14ac:dyDescent="0.3">
      <c r="A159">
        <v>1051</v>
      </c>
      <c r="B159" s="13">
        <v>45023</v>
      </c>
      <c r="C159" t="s">
        <v>26</v>
      </c>
      <c r="D159" t="s">
        <v>19</v>
      </c>
      <c r="E159">
        <v>5262.45</v>
      </c>
      <c r="F159">
        <v>23</v>
      </c>
      <c r="G159" t="s">
        <v>28</v>
      </c>
      <c r="H159">
        <v>3325.43</v>
      </c>
      <c r="I159">
        <v>3401.1</v>
      </c>
      <c r="J159" t="s">
        <v>15</v>
      </c>
      <c r="K159">
        <v>0.1</v>
      </c>
      <c r="L159" t="s">
        <v>16</v>
      </c>
      <c r="M159" t="s">
        <v>29</v>
      </c>
      <c r="N159" t="s">
        <v>76</v>
      </c>
    </row>
    <row r="160" spans="1:14" x14ac:dyDescent="0.3">
      <c r="A160">
        <v>1063</v>
      </c>
      <c r="B160" s="13">
        <v>45215</v>
      </c>
      <c r="C160" t="s">
        <v>31</v>
      </c>
      <c r="D160" t="s">
        <v>30</v>
      </c>
      <c r="E160">
        <v>9775.35</v>
      </c>
      <c r="F160">
        <v>4</v>
      </c>
      <c r="G160" t="s">
        <v>14</v>
      </c>
      <c r="H160">
        <v>1134.67</v>
      </c>
      <c r="I160">
        <v>1201.3900000000001</v>
      </c>
      <c r="J160" t="s">
        <v>15</v>
      </c>
      <c r="K160">
        <v>0.3</v>
      </c>
      <c r="L160" t="s">
        <v>25</v>
      </c>
      <c r="M160" t="s">
        <v>17</v>
      </c>
      <c r="N160" t="s">
        <v>62</v>
      </c>
    </row>
    <row r="161" spans="1:14" x14ac:dyDescent="0.3">
      <c r="A161">
        <v>1096</v>
      </c>
      <c r="B161" s="13">
        <v>45180</v>
      </c>
      <c r="C161" t="s">
        <v>12</v>
      </c>
      <c r="D161" t="s">
        <v>27</v>
      </c>
      <c r="E161">
        <v>7597.37</v>
      </c>
      <c r="F161">
        <v>23</v>
      </c>
      <c r="G161" t="s">
        <v>28</v>
      </c>
      <c r="H161">
        <v>608.57000000000005</v>
      </c>
      <c r="I161">
        <v>1032.22</v>
      </c>
      <c r="J161" t="s">
        <v>15</v>
      </c>
      <c r="K161">
        <v>0.25</v>
      </c>
      <c r="L161" t="s">
        <v>16</v>
      </c>
      <c r="M161" t="s">
        <v>17</v>
      </c>
      <c r="N161" t="s">
        <v>100</v>
      </c>
    </row>
    <row r="162" spans="1:14" x14ac:dyDescent="0.3">
      <c r="A162">
        <v>1052</v>
      </c>
      <c r="B162" s="13">
        <v>45122</v>
      </c>
      <c r="C162" t="s">
        <v>31</v>
      </c>
      <c r="D162" t="s">
        <v>13</v>
      </c>
      <c r="E162">
        <v>1700.55</v>
      </c>
      <c r="F162">
        <v>48</v>
      </c>
      <c r="G162" t="s">
        <v>22</v>
      </c>
      <c r="H162">
        <v>3002.35</v>
      </c>
      <c r="I162">
        <v>3080.61</v>
      </c>
      <c r="J162" t="s">
        <v>20</v>
      </c>
      <c r="K162">
        <v>0.18</v>
      </c>
      <c r="L162" t="s">
        <v>25</v>
      </c>
      <c r="M162" t="s">
        <v>17</v>
      </c>
      <c r="N162" t="s">
        <v>67</v>
      </c>
    </row>
    <row r="163" spans="1:14" x14ac:dyDescent="0.3">
      <c r="A163">
        <v>1096</v>
      </c>
      <c r="B163" s="13">
        <v>45012</v>
      </c>
      <c r="C163" t="s">
        <v>26</v>
      </c>
      <c r="D163" t="s">
        <v>30</v>
      </c>
      <c r="E163">
        <v>4821.3100000000004</v>
      </c>
      <c r="F163">
        <v>48</v>
      </c>
      <c r="G163" t="s">
        <v>14</v>
      </c>
      <c r="H163">
        <v>2449.21</v>
      </c>
      <c r="I163">
        <v>2714.12</v>
      </c>
      <c r="J163" t="s">
        <v>15</v>
      </c>
      <c r="K163">
        <v>0.01</v>
      </c>
      <c r="L163" t="s">
        <v>21</v>
      </c>
      <c r="M163" t="s">
        <v>29</v>
      </c>
      <c r="N163" t="s">
        <v>71</v>
      </c>
    </row>
    <row r="164" spans="1:14" x14ac:dyDescent="0.3">
      <c r="A164">
        <v>1004</v>
      </c>
      <c r="B164" s="13">
        <v>45248</v>
      </c>
      <c r="C164" t="s">
        <v>26</v>
      </c>
      <c r="D164" t="s">
        <v>13</v>
      </c>
      <c r="E164">
        <v>7211.48</v>
      </c>
      <c r="F164">
        <v>1</v>
      </c>
      <c r="G164" t="s">
        <v>22</v>
      </c>
      <c r="H164">
        <v>182.99</v>
      </c>
      <c r="I164">
        <v>211.18</v>
      </c>
      <c r="J164" t="s">
        <v>20</v>
      </c>
      <c r="K164">
        <v>0.27</v>
      </c>
      <c r="L164" t="s">
        <v>25</v>
      </c>
      <c r="M164" t="s">
        <v>17</v>
      </c>
      <c r="N164" t="s">
        <v>55</v>
      </c>
    </row>
    <row r="165" spans="1:14" x14ac:dyDescent="0.3">
      <c r="A165">
        <v>1094</v>
      </c>
      <c r="B165" s="13">
        <v>44936</v>
      </c>
      <c r="C165" t="s">
        <v>12</v>
      </c>
      <c r="D165" t="s">
        <v>30</v>
      </c>
      <c r="E165">
        <v>2548.67</v>
      </c>
      <c r="F165">
        <v>25</v>
      </c>
      <c r="G165" t="s">
        <v>28</v>
      </c>
      <c r="H165">
        <v>1933.39</v>
      </c>
      <c r="I165">
        <v>1982.92</v>
      </c>
      <c r="J165" t="s">
        <v>15</v>
      </c>
      <c r="K165">
        <v>0.17</v>
      </c>
      <c r="L165" t="s">
        <v>25</v>
      </c>
      <c r="M165" t="s">
        <v>29</v>
      </c>
      <c r="N165" t="s">
        <v>72</v>
      </c>
    </row>
    <row r="166" spans="1:14" x14ac:dyDescent="0.3">
      <c r="A166">
        <v>1023</v>
      </c>
      <c r="B166" s="13">
        <v>44931</v>
      </c>
      <c r="C166" t="s">
        <v>26</v>
      </c>
      <c r="D166" t="s">
        <v>13</v>
      </c>
      <c r="E166">
        <v>6442.09</v>
      </c>
      <c r="F166">
        <v>2</v>
      </c>
      <c r="G166" t="s">
        <v>14</v>
      </c>
      <c r="H166">
        <v>575.32000000000005</v>
      </c>
      <c r="I166">
        <v>914.77</v>
      </c>
      <c r="J166" t="s">
        <v>20</v>
      </c>
      <c r="K166">
        <v>0.26</v>
      </c>
      <c r="L166" t="s">
        <v>25</v>
      </c>
      <c r="M166" t="s">
        <v>29</v>
      </c>
      <c r="N166" t="s">
        <v>55</v>
      </c>
    </row>
    <row r="167" spans="1:14" x14ac:dyDescent="0.3">
      <c r="A167">
        <v>1015</v>
      </c>
      <c r="B167" s="13">
        <v>45049</v>
      </c>
      <c r="C167" t="s">
        <v>18</v>
      </c>
      <c r="D167" t="s">
        <v>27</v>
      </c>
      <c r="E167">
        <v>6699.34</v>
      </c>
      <c r="F167">
        <v>30</v>
      </c>
      <c r="G167" t="s">
        <v>22</v>
      </c>
      <c r="H167">
        <v>2680.22</v>
      </c>
      <c r="I167" s="14" t="s">
        <v>269</v>
      </c>
      <c r="J167" t="s">
        <v>20</v>
      </c>
      <c r="K167">
        <v>0.25</v>
      </c>
      <c r="L167" t="s">
        <v>25</v>
      </c>
      <c r="M167" t="s">
        <v>29</v>
      </c>
      <c r="N167" t="s">
        <v>58</v>
      </c>
    </row>
    <row r="168" spans="1:14" x14ac:dyDescent="0.3">
      <c r="A168">
        <v>1043</v>
      </c>
      <c r="B168" s="13">
        <v>45256</v>
      </c>
      <c r="C168" t="s">
        <v>23</v>
      </c>
      <c r="D168" t="s">
        <v>27</v>
      </c>
      <c r="E168">
        <v>1710.73</v>
      </c>
      <c r="F168">
        <v>3</v>
      </c>
      <c r="G168" t="s">
        <v>28</v>
      </c>
      <c r="H168">
        <v>2009.1</v>
      </c>
      <c r="I168">
        <v>2186.42</v>
      </c>
      <c r="J168" t="s">
        <v>15</v>
      </c>
      <c r="K168">
        <v>0.25</v>
      </c>
      <c r="L168" t="s">
        <v>25</v>
      </c>
      <c r="M168" t="s">
        <v>29</v>
      </c>
      <c r="N168" t="s">
        <v>96</v>
      </c>
    </row>
    <row r="169" spans="1:14" x14ac:dyDescent="0.3">
      <c r="A169">
        <v>1029</v>
      </c>
      <c r="B169" s="13">
        <v>45279</v>
      </c>
      <c r="C169" t="s">
        <v>12</v>
      </c>
      <c r="D169" t="s">
        <v>30</v>
      </c>
      <c r="E169">
        <v>5694.34</v>
      </c>
      <c r="F169">
        <v>21</v>
      </c>
      <c r="G169" t="s">
        <v>22</v>
      </c>
      <c r="H169">
        <v>3085.1</v>
      </c>
      <c r="I169">
        <v>3200.75</v>
      </c>
      <c r="J169" t="s">
        <v>15</v>
      </c>
      <c r="K169">
        <v>0.21</v>
      </c>
      <c r="L169" t="s">
        <v>16</v>
      </c>
      <c r="M169" t="s">
        <v>17</v>
      </c>
      <c r="N169" t="s">
        <v>72</v>
      </c>
    </row>
    <row r="170" spans="1:14" x14ac:dyDescent="0.3">
      <c r="A170">
        <v>1036</v>
      </c>
      <c r="B170" s="13">
        <v>45044</v>
      </c>
      <c r="C170" t="s">
        <v>31</v>
      </c>
      <c r="D170" t="s">
        <v>19</v>
      </c>
      <c r="E170">
        <v>7739.11</v>
      </c>
      <c r="F170">
        <v>25</v>
      </c>
      <c r="G170" t="s">
        <v>24</v>
      </c>
      <c r="H170">
        <v>4037.73</v>
      </c>
      <c r="I170">
        <v>4446.45</v>
      </c>
      <c r="J170" t="s">
        <v>20</v>
      </c>
      <c r="K170">
        <v>0.09</v>
      </c>
      <c r="L170" t="s">
        <v>25</v>
      </c>
      <c r="M170" t="s">
        <v>29</v>
      </c>
      <c r="N170" t="s">
        <v>88</v>
      </c>
    </row>
    <row r="171" spans="1:14" x14ac:dyDescent="0.3">
      <c r="A171">
        <v>1013</v>
      </c>
      <c r="B171" s="13">
        <v>45220</v>
      </c>
      <c r="C171" t="s">
        <v>18</v>
      </c>
      <c r="D171" t="s">
        <v>13</v>
      </c>
      <c r="E171">
        <v>5039.07</v>
      </c>
      <c r="F171">
        <v>20</v>
      </c>
      <c r="G171" t="s">
        <v>28</v>
      </c>
      <c r="H171">
        <v>1533.36</v>
      </c>
      <c r="I171" s="14" t="s">
        <v>268</v>
      </c>
      <c r="J171" t="s">
        <v>20</v>
      </c>
      <c r="K171">
        <v>0.1</v>
      </c>
      <c r="L171" t="s">
        <v>25</v>
      </c>
      <c r="M171" t="s">
        <v>29</v>
      </c>
      <c r="N171" t="s">
        <v>80</v>
      </c>
    </row>
    <row r="172" spans="1:14" x14ac:dyDescent="0.3">
      <c r="A172">
        <v>1032</v>
      </c>
      <c r="B172" s="13">
        <v>45085</v>
      </c>
      <c r="C172" t="s">
        <v>12</v>
      </c>
      <c r="D172" t="s">
        <v>19</v>
      </c>
      <c r="E172">
        <v>219.82</v>
      </c>
      <c r="F172">
        <v>49</v>
      </c>
      <c r="G172" t="s">
        <v>28</v>
      </c>
      <c r="H172">
        <v>4812.41</v>
      </c>
      <c r="I172">
        <v>5088</v>
      </c>
      <c r="J172" t="s">
        <v>20</v>
      </c>
      <c r="K172">
        <v>0.09</v>
      </c>
      <c r="L172" t="s">
        <v>21</v>
      </c>
      <c r="M172" t="s">
        <v>29</v>
      </c>
      <c r="N172" t="s">
        <v>74</v>
      </c>
    </row>
    <row r="173" spans="1:14" x14ac:dyDescent="0.3">
      <c r="A173">
        <v>1071</v>
      </c>
      <c r="B173" s="13">
        <v>45229</v>
      </c>
      <c r="C173" t="s">
        <v>26</v>
      </c>
      <c r="D173" t="s">
        <v>19</v>
      </c>
      <c r="E173">
        <v>189.48</v>
      </c>
      <c r="F173">
        <v>22</v>
      </c>
      <c r="G173" t="s">
        <v>28</v>
      </c>
      <c r="H173">
        <v>2701.39</v>
      </c>
      <c r="I173">
        <v>3185.81</v>
      </c>
      <c r="J173" t="s">
        <v>15</v>
      </c>
      <c r="K173">
        <v>0.01</v>
      </c>
      <c r="L173" t="s">
        <v>25</v>
      </c>
      <c r="M173" t="s">
        <v>29</v>
      </c>
      <c r="N173" t="s">
        <v>76</v>
      </c>
    </row>
    <row r="174" spans="1:14" x14ac:dyDescent="0.3">
      <c r="A174">
        <v>1059</v>
      </c>
      <c r="B174" s="13">
        <v>45154</v>
      </c>
      <c r="C174" t="s">
        <v>26</v>
      </c>
      <c r="D174" t="s">
        <v>19</v>
      </c>
      <c r="E174">
        <v>3634.59</v>
      </c>
      <c r="F174">
        <v>21</v>
      </c>
      <c r="G174" t="s">
        <v>14</v>
      </c>
      <c r="H174">
        <v>3110.54</v>
      </c>
      <c r="I174">
        <v>3192.99</v>
      </c>
      <c r="J174" t="s">
        <v>15</v>
      </c>
      <c r="K174">
        <v>0.17</v>
      </c>
      <c r="L174" t="s">
        <v>21</v>
      </c>
      <c r="M174" t="s">
        <v>29</v>
      </c>
      <c r="N174" t="s">
        <v>76</v>
      </c>
    </row>
    <row r="175" spans="1:14" x14ac:dyDescent="0.3">
      <c r="A175">
        <v>1086</v>
      </c>
      <c r="B175" s="13">
        <v>45291</v>
      </c>
      <c r="C175" t="s">
        <v>26</v>
      </c>
      <c r="D175" t="s">
        <v>27</v>
      </c>
      <c r="E175">
        <v>9269.32</v>
      </c>
      <c r="F175">
        <v>33</v>
      </c>
      <c r="G175" t="s">
        <v>14</v>
      </c>
      <c r="H175">
        <v>3419.33</v>
      </c>
      <c r="I175" s="14" t="s">
        <v>267</v>
      </c>
      <c r="J175" t="s">
        <v>20</v>
      </c>
      <c r="K175">
        <v>0.21</v>
      </c>
      <c r="L175" t="s">
        <v>16</v>
      </c>
      <c r="M175" t="s">
        <v>17</v>
      </c>
      <c r="N175" t="s">
        <v>63</v>
      </c>
    </row>
    <row r="176" spans="1:14" x14ac:dyDescent="0.3">
      <c r="A176">
        <v>1028</v>
      </c>
      <c r="B176" s="13">
        <v>45142</v>
      </c>
      <c r="C176" t="s">
        <v>26</v>
      </c>
      <c r="D176" t="s">
        <v>30</v>
      </c>
      <c r="E176">
        <v>2363.9</v>
      </c>
      <c r="F176">
        <v>38</v>
      </c>
      <c r="G176" t="s">
        <v>14</v>
      </c>
      <c r="H176">
        <v>3350.32</v>
      </c>
      <c r="I176">
        <v>3449.94</v>
      </c>
      <c r="J176" t="s">
        <v>15</v>
      </c>
      <c r="K176">
        <v>0.26</v>
      </c>
      <c r="L176" t="s">
        <v>16</v>
      </c>
      <c r="M176" t="s">
        <v>29</v>
      </c>
      <c r="N176" t="s">
        <v>71</v>
      </c>
    </row>
    <row r="177" spans="1:14" x14ac:dyDescent="0.3">
      <c r="A177">
        <v>1066</v>
      </c>
      <c r="B177" s="13">
        <v>45110</v>
      </c>
      <c r="C177" t="s">
        <v>31</v>
      </c>
      <c r="D177" t="s">
        <v>30</v>
      </c>
      <c r="E177">
        <v>6380.2</v>
      </c>
      <c r="F177">
        <v>15</v>
      </c>
      <c r="G177" t="s">
        <v>24</v>
      </c>
      <c r="H177">
        <v>2579.31</v>
      </c>
      <c r="I177">
        <v>2867.36</v>
      </c>
      <c r="J177" t="s">
        <v>20</v>
      </c>
      <c r="K177">
        <v>0.04</v>
      </c>
      <c r="L177" t="s">
        <v>25</v>
      </c>
      <c r="M177" t="s">
        <v>17</v>
      </c>
      <c r="N177" t="s">
        <v>62</v>
      </c>
    </row>
    <row r="178" spans="1:14" x14ac:dyDescent="0.3">
      <c r="A178">
        <v>1042</v>
      </c>
      <c r="B178" s="13">
        <v>44941</v>
      </c>
      <c r="C178" t="s">
        <v>18</v>
      </c>
      <c r="D178" t="s">
        <v>27</v>
      </c>
      <c r="E178">
        <v>2298.5500000000002</v>
      </c>
      <c r="F178">
        <v>46</v>
      </c>
      <c r="G178" t="s">
        <v>24</v>
      </c>
      <c r="H178">
        <v>2172.38</v>
      </c>
      <c r="I178">
        <v>2367.11</v>
      </c>
      <c r="J178" t="s">
        <v>15</v>
      </c>
      <c r="K178">
        <v>0.16</v>
      </c>
      <c r="L178" t="s">
        <v>16</v>
      </c>
      <c r="M178" t="s">
        <v>17</v>
      </c>
      <c r="N178" t="s">
        <v>58</v>
      </c>
    </row>
    <row r="179" spans="1:14" x14ac:dyDescent="0.3">
      <c r="A179">
        <v>1045</v>
      </c>
      <c r="B179" s="13">
        <v>45083</v>
      </c>
      <c r="C179" t="s">
        <v>23</v>
      </c>
      <c r="D179" t="s">
        <v>27</v>
      </c>
      <c r="E179">
        <v>3284.53</v>
      </c>
      <c r="F179">
        <v>15</v>
      </c>
      <c r="G179" t="s">
        <v>28</v>
      </c>
      <c r="H179">
        <v>316.22000000000003</v>
      </c>
      <c r="I179">
        <v>799.04</v>
      </c>
      <c r="J179" t="s">
        <v>15</v>
      </c>
      <c r="K179">
        <v>0</v>
      </c>
      <c r="L179" t="s">
        <v>25</v>
      </c>
      <c r="M179" t="s">
        <v>29</v>
      </c>
      <c r="N179" t="s">
        <v>96</v>
      </c>
    </row>
    <row r="180" spans="1:14" x14ac:dyDescent="0.3">
      <c r="A180">
        <v>1062</v>
      </c>
      <c r="B180" s="13">
        <v>45062</v>
      </c>
      <c r="C180" t="s">
        <v>31</v>
      </c>
      <c r="D180" t="s">
        <v>30</v>
      </c>
      <c r="E180">
        <v>8495.6200000000008</v>
      </c>
      <c r="F180">
        <v>46</v>
      </c>
      <c r="G180" t="s">
        <v>24</v>
      </c>
      <c r="H180">
        <v>159.32</v>
      </c>
      <c r="I180">
        <v>303.36</v>
      </c>
      <c r="J180" t="s">
        <v>15</v>
      </c>
      <c r="K180">
        <v>0.03</v>
      </c>
      <c r="L180" t="s">
        <v>16</v>
      </c>
      <c r="M180" t="s">
        <v>17</v>
      </c>
      <c r="N180" t="s">
        <v>62</v>
      </c>
    </row>
    <row r="181" spans="1:14" x14ac:dyDescent="0.3">
      <c r="A181">
        <v>1057</v>
      </c>
      <c r="B181" s="13">
        <v>45187</v>
      </c>
      <c r="C181" t="s">
        <v>31</v>
      </c>
      <c r="D181" t="s">
        <v>19</v>
      </c>
      <c r="E181">
        <v>7315.73</v>
      </c>
      <c r="F181">
        <v>25</v>
      </c>
      <c r="G181" t="s">
        <v>22</v>
      </c>
      <c r="H181">
        <v>1821.91</v>
      </c>
      <c r="I181">
        <v>2027.74</v>
      </c>
      <c r="J181" t="s">
        <v>15</v>
      </c>
      <c r="K181">
        <v>0.02</v>
      </c>
      <c r="L181" t="s">
        <v>25</v>
      </c>
      <c r="M181" t="s">
        <v>17</v>
      </c>
      <c r="N181" t="s">
        <v>88</v>
      </c>
    </row>
    <row r="182" spans="1:14" x14ac:dyDescent="0.3">
      <c r="A182">
        <v>1006</v>
      </c>
      <c r="B182" s="13">
        <v>45083</v>
      </c>
      <c r="C182" t="s">
        <v>23</v>
      </c>
      <c r="D182" t="s">
        <v>13</v>
      </c>
      <c r="E182">
        <v>1044.45</v>
      </c>
      <c r="F182">
        <v>21</v>
      </c>
      <c r="G182" t="s">
        <v>28</v>
      </c>
      <c r="H182">
        <v>1701.62</v>
      </c>
      <c r="I182">
        <v>2193.2199999999998</v>
      </c>
      <c r="J182" t="s">
        <v>15</v>
      </c>
      <c r="K182">
        <v>0.22</v>
      </c>
      <c r="L182" t="s">
        <v>25</v>
      </c>
      <c r="M182" t="s">
        <v>17</v>
      </c>
      <c r="N182" t="s">
        <v>69</v>
      </c>
    </row>
    <row r="183" spans="1:14" x14ac:dyDescent="0.3">
      <c r="A183">
        <v>1028</v>
      </c>
      <c r="B183" s="13">
        <v>44973</v>
      </c>
      <c r="C183" t="s">
        <v>23</v>
      </c>
      <c r="D183" t="s">
        <v>13</v>
      </c>
      <c r="E183">
        <v>4344.1499999999996</v>
      </c>
      <c r="F183">
        <v>24</v>
      </c>
      <c r="G183" t="s">
        <v>28</v>
      </c>
      <c r="H183">
        <v>1969.09</v>
      </c>
      <c r="I183">
        <v>2241.96</v>
      </c>
      <c r="J183" t="s">
        <v>20</v>
      </c>
      <c r="K183">
        <v>0.02</v>
      </c>
      <c r="L183" t="s">
        <v>21</v>
      </c>
      <c r="M183" t="s">
        <v>29</v>
      </c>
      <c r="N183" t="s">
        <v>69</v>
      </c>
    </row>
    <row r="184" spans="1:14" x14ac:dyDescent="0.3">
      <c r="A184">
        <v>1028</v>
      </c>
      <c r="B184" s="13">
        <v>45250</v>
      </c>
      <c r="C184" t="s">
        <v>26</v>
      </c>
      <c r="D184" t="s">
        <v>13</v>
      </c>
      <c r="E184">
        <v>388.78</v>
      </c>
      <c r="F184">
        <v>5</v>
      </c>
      <c r="G184" t="s">
        <v>22</v>
      </c>
      <c r="H184">
        <v>734.92</v>
      </c>
      <c r="I184">
        <v>991.21</v>
      </c>
      <c r="J184" t="s">
        <v>20</v>
      </c>
      <c r="K184">
        <v>0.21</v>
      </c>
      <c r="L184" t="s">
        <v>21</v>
      </c>
      <c r="M184" t="s">
        <v>29</v>
      </c>
      <c r="N184" t="s">
        <v>55</v>
      </c>
    </row>
    <row r="185" spans="1:14" x14ac:dyDescent="0.3">
      <c r="A185">
        <v>1044</v>
      </c>
      <c r="B185" s="13">
        <v>45258</v>
      </c>
      <c r="C185" t="s">
        <v>31</v>
      </c>
      <c r="D185" t="s">
        <v>19</v>
      </c>
      <c r="E185">
        <v>4860.8100000000004</v>
      </c>
      <c r="F185">
        <v>6</v>
      </c>
      <c r="G185" t="s">
        <v>28</v>
      </c>
      <c r="H185">
        <v>3703.93</v>
      </c>
      <c r="I185">
        <v>3840.24</v>
      </c>
      <c r="J185" t="s">
        <v>15</v>
      </c>
      <c r="K185">
        <v>7.0000000000000007E-2</v>
      </c>
      <c r="L185" t="s">
        <v>21</v>
      </c>
      <c r="M185" t="s">
        <v>29</v>
      </c>
      <c r="N185" t="s">
        <v>88</v>
      </c>
    </row>
    <row r="186" spans="1:14" x14ac:dyDescent="0.3">
      <c r="A186">
        <v>1084</v>
      </c>
      <c r="B186" s="13">
        <v>45099</v>
      </c>
      <c r="C186" t="s">
        <v>12</v>
      </c>
      <c r="D186" t="s">
        <v>30</v>
      </c>
      <c r="E186">
        <v>6658.1</v>
      </c>
      <c r="F186">
        <v>49</v>
      </c>
      <c r="G186" t="s">
        <v>24</v>
      </c>
      <c r="H186">
        <v>4291.97</v>
      </c>
      <c r="I186">
        <v>4645.6400000000003</v>
      </c>
      <c r="J186" t="s">
        <v>20</v>
      </c>
      <c r="K186">
        <v>0.26</v>
      </c>
      <c r="L186" t="s">
        <v>21</v>
      </c>
      <c r="M186" t="s">
        <v>29</v>
      </c>
      <c r="N186" t="s">
        <v>72</v>
      </c>
    </row>
    <row r="187" spans="1:14" x14ac:dyDescent="0.3">
      <c r="A187">
        <v>1030</v>
      </c>
      <c r="B187" s="13">
        <v>45056</v>
      </c>
      <c r="C187" t="s">
        <v>23</v>
      </c>
      <c r="D187" t="s">
        <v>27</v>
      </c>
      <c r="E187">
        <v>1273.18</v>
      </c>
      <c r="F187">
        <v>43</v>
      </c>
      <c r="G187" t="s">
        <v>14</v>
      </c>
      <c r="H187">
        <v>4696.6400000000003</v>
      </c>
      <c r="I187">
        <v>4713.68</v>
      </c>
      <c r="J187" t="s">
        <v>20</v>
      </c>
      <c r="K187">
        <v>0.24</v>
      </c>
      <c r="L187" t="s">
        <v>25</v>
      </c>
      <c r="M187" t="s">
        <v>29</v>
      </c>
      <c r="N187" t="s">
        <v>96</v>
      </c>
    </row>
    <row r="188" spans="1:14" x14ac:dyDescent="0.3">
      <c r="A188">
        <v>1062</v>
      </c>
      <c r="B188" s="13">
        <v>45021</v>
      </c>
      <c r="C188" t="s">
        <v>23</v>
      </c>
      <c r="D188" t="s">
        <v>30</v>
      </c>
      <c r="E188">
        <v>2959.96</v>
      </c>
      <c r="F188">
        <v>48</v>
      </c>
      <c r="G188" t="s">
        <v>22</v>
      </c>
      <c r="H188">
        <v>2487.19</v>
      </c>
      <c r="I188" s="14" t="s">
        <v>266</v>
      </c>
      <c r="J188" t="s">
        <v>15</v>
      </c>
      <c r="K188">
        <v>0.28999999999999998</v>
      </c>
      <c r="L188" t="s">
        <v>16</v>
      </c>
      <c r="M188" t="s">
        <v>29</v>
      </c>
      <c r="N188" t="s">
        <v>60</v>
      </c>
    </row>
    <row r="189" spans="1:14" x14ac:dyDescent="0.3">
      <c r="A189">
        <v>1075</v>
      </c>
      <c r="B189" s="13">
        <v>45041</v>
      </c>
      <c r="C189" t="s">
        <v>18</v>
      </c>
      <c r="D189" t="s">
        <v>19</v>
      </c>
      <c r="E189">
        <v>4038.58</v>
      </c>
      <c r="F189">
        <v>44</v>
      </c>
      <c r="G189" t="s">
        <v>24</v>
      </c>
      <c r="H189">
        <v>3519.29</v>
      </c>
      <c r="I189">
        <v>3822.98</v>
      </c>
      <c r="J189" t="s">
        <v>20</v>
      </c>
      <c r="K189">
        <v>0.27</v>
      </c>
      <c r="L189" t="s">
        <v>25</v>
      </c>
      <c r="M189" t="s">
        <v>29</v>
      </c>
      <c r="N189" t="s">
        <v>56</v>
      </c>
    </row>
    <row r="190" spans="1:14" x14ac:dyDescent="0.3">
      <c r="A190">
        <v>1092</v>
      </c>
      <c r="B190" s="13">
        <v>45169</v>
      </c>
      <c r="C190" t="s">
        <v>12</v>
      </c>
      <c r="D190" t="s">
        <v>27</v>
      </c>
      <c r="E190">
        <v>9203.36</v>
      </c>
      <c r="F190">
        <v>47</v>
      </c>
      <c r="G190" t="s">
        <v>22</v>
      </c>
      <c r="H190">
        <v>4284.9799999999996</v>
      </c>
      <c r="I190">
        <v>4462.3999999999996</v>
      </c>
      <c r="J190" t="s">
        <v>15</v>
      </c>
      <c r="K190">
        <v>0.28000000000000003</v>
      </c>
      <c r="L190" t="s">
        <v>21</v>
      </c>
      <c r="M190" t="s">
        <v>17</v>
      </c>
      <c r="N190" t="s">
        <v>100</v>
      </c>
    </row>
    <row r="191" spans="1:14" x14ac:dyDescent="0.3">
      <c r="A191">
        <v>1089</v>
      </c>
      <c r="B191" s="13">
        <v>45218</v>
      </c>
      <c r="C191" t="s">
        <v>12</v>
      </c>
      <c r="D191" t="s">
        <v>19</v>
      </c>
      <c r="E191">
        <v>9933.2199999999993</v>
      </c>
      <c r="F191">
        <v>23</v>
      </c>
      <c r="G191" t="s">
        <v>22</v>
      </c>
      <c r="H191">
        <v>2120.54</v>
      </c>
      <c r="I191">
        <v>2597.67</v>
      </c>
      <c r="J191" t="s">
        <v>20</v>
      </c>
      <c r="K191">
        <v>0.26</v>
      </c>
      <c r="L191" t="s">
        <v>21</v>
      </c>
      <c r="M191" t="s">
        <v>17</v>
      </c>
      <c r="N191" t="s">
        <v>74</v>
      </c>
    </row>
    <row r="192" spans="1:14" x14ac:dyDescent="0.3">
      <c r="A192">
        <v>1062</v>
      </c>
      <c r="B192" s="13">
        <v>45208</v>
      </c>
      <c r="C192" t="s">
        <v>23</v>
      </c>
      <c r="D192" t="s">
        <v>13</v>
      </c>
      <c r="E192">
        <v>544.62</v>
      </c>
      <c r="F192">
        <v>4</v>
      </c>
      <c r="G192" t="s">
        <v>28</v>
      </c>
      <c r="H192">
        <v>1581.59</v>
      </c>
      <c r="I192" s="14" t="s">
        <v>265</v>
      </c>
      <c r="J192" t="s">
        <v>20</v>
      </c>
      <c r="K192">
        <v>0.21</v>
      </c>
      <c r="L192" t="s">
        <v>16</v>
      </c>
      <c r="M192" t="s">
        <v>29</v>
      </c>
      <c r="N192" t="s">
        <v>69</v>
      </c>
    </row>
    <row r="193" spans="1:14" x14ac:dyDescent="0.3">
      <c r="A193">
        <v>1097</v>
      </c>
      <c r="B193" s="13">
        <v>45225</v>
      </c>
      <c r="C193" t="s">
        <v>26</v>
      </c>
      <c r="D193" t="s">
        <v>13</v>
      </c>
      <c r="E193">
        <v>7633.98</v>
      </c>
      <c r="F193">
        <v>27</v>
      </c>
      <c r="G193" t="s">
        <v>28</v>
      </c>
      <c r="H193">
        <v>4686.79</v>
      </c>
      <c r="I193">
        <v>5046.51</v>
      </c>
      <c r="J193" t="s">
        <v>20</v>
      </c>
      <c r="K193">
        <v>0.05</v>
      </c>
      <c r="L193" t="s">
        <v>21</v>
      </c>
      <c r="M193" t="s">
        <v>17</v>
      </c>
      <c r="N193" t="s">
        <v>55</v>
      </c>
    </row>
    <row r="194" spans="1:14" x14ac:dyDescent="0.3">
      <c r="A194">
        <v>1001</v>
      </c>
      <c r="B194" s="13">
        <v>45209</v>
      </c>
      <c r="C194" t="s">
        <v>18</v>
      </c>
      <c r="D194" t="s">
        <v>19</v>
      </c>
      <c r="E194">
        <v>3780.07</v>
      </c>
      <c r="F194">
        <v>18</v>
      </c>
      <c r="G194" t="s">
        <v>24</v>
      </c>
      <c r="H194">
        <v>2602.6</v>
      </c>
      <c r="I194">
        <v>3013.49</v>
      </c>
      <c r="J194" t="s">
        <v>20</v>
      </c>
      <c r="K194">
        <v>0.08</v>
      </c>
      <c r="L194" t="s">
        <v>25</v>
      </c>
      <c r="M194" t="s">
        <v>29</v>
      </c>
      <c r="N194" t="s">
        <v>56</v>
      </c>
    </row>
    <row r="195" spans="1:14" x14ac:dyDescent="0.3">
      <c r="A195">
        <v>1027</v>
      </c>
      <c r="B195" s="13">
        <v>44995</v>
      </c>
      <c r="C195" t="s">
        <v>12</v>
      </c>
      <c r="D195" t="s">
        <v>27</v>
      </c>
      <c r="E195">
        <v>3985.34</v>
      </c>
      <c r="F195">
        <v>21</v>
      </c>
      <c r="G195" t="s">
        <v>22</v>
      </c>
      <c r="H195">
        <v>2511.41</v>
      </c>
      <c r="I195" s="14" t="s">
        <v>264</v>
      </c>
      <c r="J195" t="s">
        <v>20</v>
      </c>
      <c r="K195">
        <v>0.06</v>
      </c>
      <c r="L195" t="s">
        <v>25</v>
      </c>
      <c r="M195" t="s">
        <v>29</v>
      </c>
      <c r="N195" t="s">
        <v>100</v>
      </c>
    </row>
    <row r="196" spans="1:14" x14ac:dyDescent="0.3">
      <c r="A196">
        <v>1062</v>
      </c>
      <c r="B196" s="13">
        <v>45074</v>
      </c>
      <c r="C196" t="s">
        <v>23</v>
      </c>
      <c r="D196" t="s">
        <v>27</v>
      </c>
      <c r="E196">
        <v>7567.22</v>
      </c>
      <c r="F196">
        <v>28</v>
      </c>
      <c r="G196" t="s">
        <v>28</v>
      </c>
      <c r="H196">
        <v>933.16</v>
      </c>
      <c r="I196" s="14" t="s">
        <v>263</v>
      </c>
      <c r="J196" t="s">
        <v>20</v>
      </c>
      <c r="K196">
        <v>0.18</v>
      </c>
      <c r="L196" t="s">
        <v>25</v>
      </c>
      <c r="M196" t="s">
        <v>29</v>
      </c>
      <c r="N196" t="s">
        <v>96</v>
      </c>
    </row>
    <row r="197" spans="1:14" x14ac:dyDescent="0.3">
      <c r="A197">
        <v>1077</v>
      </c>
      <c r="B197" s="13">
        <v>44937</v>
      </c>
      <c r="C197" t="s">
        <v>12</v>
      </c>
      <c r="D197" t="s">
        <v>30</v>
      </c>
      <c r="E197">
        <v>9192.42</v>
      </c>
      <c r="F197">
        <v>35</v>
      </c>
      <c r="G197" t="s">
        <v>28</v>
      </c>
      <c r="H197">
        <v>585.37</v>
      </c>
      <c r="I197">
        <v>970.49</v>
      </c>
      <c r="J197" t="s">
        <v>20</v>
      </c>
      <c r="K197">
        <v>0.15</v>
      </c>
      <c r="L197" t="s">
        <v>25</v>
      </c>
      <c r="M197" t="s">
        <v>17</v>
      </c>
      <c r="N197" t="s">
        <v>72</v>
      </c>
    </row>
    <row r="198" spans="1:14" x14ac:dyDescent="0.3">
      <c r="A198">
        <v>1003</v>
      </c>
      <c r="B198" s="13">
        <v>45180</v>
      </c>
      <c r="C198" t="s">
        <v>18</v>
      </c>
      <c r="D198" t="s">
        <v>13</v>
      </c>
      <c r="E198">
        <v>9514.19</v>
      </c>
      <c r="F198">
        <v>22</v>
      </c>
      <c r="G198" t="s">
        <v>22</v>
      </c>
      <c r="H198">
        <v>4218.43</v>
      </c>
      <c r="I198">
        <v>4331.42</v>
      </c>
      <c r="J198" t="s">
        <v>15</v>
      </c>
      <c r="K198">
        <v>0.26</v>
      </c>
      <c r="L198" t="s">
        <v>25</v>
      </c>
      <c r="M198" t="s">
        <v>29</v>
      </c>
      <c r="N198" t="s">
        <v>80</v>
      </c>
    </row>
    <row r="199" spans="1:14" x14ac:dyDescent="0.3">
      <c r="A199">
        <v>1070</v>
      </c>
      <c r="B199" s="13">
        <v>45256</v>
      </c>
      <c r="C199" t="s">
        <v>18</v>
      </c>
      <c r="D199" t="s">
        <v>30</v>
      </c>
      <c r="E199">
        <v>5813.51</v>
      </c>
      <c r="F199">
        <v>40</v>
      </c>
      <c r="G199" t="s">
        <v>24</v>
      </c>
      <c r="H199">
        <v>3089.96</v>
      </c>
      <c r="I199">
        <v>3258.45</v>
      </c>
      <c r="J199" t="s">
        <v>15</v>
      </c>
      <c r="K199">
        <v>0.28999999999999998</v>
      </c>
      <c r="L199" t="s">
        <v>16</v>
      </c>
      <c r="M199" t="s">
        <v>29</v>
      </c>
      <c r="N199" t="s">
        <v>64</v>
      </c>
    </row>
    <row r="200" spans="1:14" x14ac:dyDescent="0.3">
      <c r="A200">
        <v>1072</v>
      </c>
      <c r="B200" s="13">
        <v>45286</v>
      </c>
      <c r="C200" t="s">
        <v>31</v>
      </c>
      <c r="D200" t="s">
        <v>30</v>
      </c>
      <c r="E200">
        <v>3635.5</v>
      </c>
      <c r="F200">
        <v>23</v>
      </c>
      <c r="G200" t="s">
        <v>24</v>
      </c>
      <c r="H200">
        <v>1662.83</v>
      </c>
      <c r="I200">
        <v>2074.25</v>
      </c>
      <c r="J200" t="s">
        <v>15</v>
      </c>
      <c r="K200">
        <v>0.12</v>
      </c>
      <c r="L200" t="s">
        <v>25</v>
      </c>
      <c r="M200" t="s">
        <v>29</v>
      </c>
      <c r="N200" t="s">
        <v>62</v>
      </c>
    </row>
    <row r="201" spans="1:14" x14ac:dyDescent="0.3">
      <c r="A201">
        <v>1027</v>
      </c>
      <c r="B201" s="13">
        <v>44964</v>
      </c>
      <c r="C201" t="s">
        <v>23</v>
      </c>
      <c r="D201" t="s">
        <v>19</v>
      </c>
      <c r="E201">
        <v>7896.74</v>
      </c>
      <c r="F201">
        <v>3</v>
      </c>
      <c r="G201" t="s">
        <v>22</v>
      </c>
      <c r="H201">
        <v>999.09</v>
      </c>
      <c r="I201">
        <v>1271.99</v>
      </c>
      <c r="J201" t="s">
        <v>15</v>
      </c>
      <c r="K201">
        <v>0.15</v>
      </c>
      <c r="L201" t="s">
        <v>21</v>
      </c>
      <c r="M201" t="s">
        <v>29</v>
      </c>
      <c r="N201" t="s">
        <v>81</v>
      </c>
    </row>
    <row r="202" spans="1:14" x14ac:dyDescent="0.3">
      <c r="A202">
        <v>1009</v>
      </c>
      <c r="B202" s="13">
        <v>45060</v>
      </c>
      <c r="C202" t="s">
        <v>18</v>
      </c>
      <c r="D202" t="s">
        <v>19</v>
      </c>
      <c r="E202">
        <v>2584.91</v>
      </c>
      <c r="F202">
        <v>40</v>
      </c>
      <c r="G202" t="s">
        <v>24</v>
      </c>
      <c r="H202">
        <v>2799.71</v>
      </c>
      <c r="I202">
        <v>3231.08</v>
      </c>
      <c r="J202" t="s">
        <v>20</v>
      </c>
      <c r="K202">
        <v>0.28999999999999998</v>
      </c>
      <c r="L202" t="s">
        <v>21</v>
      </c>
      <c r="M202" t="s">
        <v>17</v>
      </c>
      <c r="N202" t="s">
        <v>56</v>
      </c>
    </row>
    <row r="203" spans="1:14" x14ac:dyDescent="0.3">
      <c r="A203">
        <v>1062</v>
      </c>
      <c r="B203" s="13">
        <v>45126</v>
      </c>
      <c r="C203" t="s">
        <v>31</v>
      </c>
      <c r="D203" t="s">
        <v>30</v>
      </c>
      <c r="E203">
        <v>5684.33</v>
      </c>
      <c r="F203">
        <v>10</v>
      </c>
      <c r="G203" t="s">
        <v>28</v>
      </c>
      <c r="H203">
        <v>2940.4</v>
      </c>
      <c r="I203">
        <v>3054.79</v>
      </c>
      <c r="J203" t="s">
        <v>20</v>
      </c>
      <c r="K203">
        <v>0.08</v>
      </c>
      <c r="L203" t="s">
        <v>21</v>
      </c>
      <c r="M203" t="s">
        <v>29</v>
      </c>
      <c r="N203" t="s">
        <v>62</v>
      </c>
    </row>
    <row r="204" spans="1:14" x14ac:dyDescent="0.3">
      <c r="A204">
        <v>1037</v>
      </c>
      <c r="B204" s="13">
        <v>44949</v>
      </c>
      <c r="C204" t="s">
        <v>31</v>
      </c>
      <c r="D204" t="s">
        <v>13</v>
      </c>
      <c r="E204">
        <v>3649.93</v>
      </c>
      <c r="F204">
        <v>25</v>
      </c>
      <c r="G204" t="s">
        <v>22</v>
      </c>
      <c r="H204">
        <v>1074.6199999999999</v>
      </c>
      <c r="I204" s="14" t="s">
        <v>262</v>
      </c>
      <c r="J204" t="s">
        <v>20</v>
      </c>
      <c r="K204">
        <v>0.24</v>
      </c>
      <c r="L204" t="s">
        <v>21</v>
      </c>
      <c r="M204" t="s">
        <v>17</v>
      </c>
      <c r="N204" t="s">
        <v>67</v>
      </c>
    </row>
    <row r="205" spans="1:14" x14ac:dyDescent="0.3">
      <c r="A205">
        <v>1097</v>
      </c>
      <c r="B205" s="13">
        <v>45229</v>
      </c>
      <c r="C205" t="s">
        <v>12</v>
      </c>
      <c r="D205" t="s">
        <v>19</v>
      </c>
      <c r="E205">
        <v>6600.65</v>
      </c>
      <c r="F205">
        <v>49</v>
      </c>
      <c r="G205" t="s">
        <v>28</v>
      </c>
      <c r="H205">
        <v>4264.46</v>
      </c>
      <c r="I205">
        <v>4315.5200000000004</v>
      </c>
      <c r="J205" t="s">
        <v>15</v>
      </c>
      <c r="K205">
        <v>7.0000000000000007E-2</v>
      </c>
      <c r="L205" t="s">
        <v>16</v>
      </c>
      <c r="M205" t="s">
        <v>17</v>
      </c>
      <c r="N205" t="s">
        <v>74</v>
      </c>
    </row>
    <row r="206" spans="1:14" x14ac:dyDescent="0.3">
      <c r="A206">
        <v>1051</v>
      </c>
      <c r="B206" s="13">
        <v>45272</v>
      </c>
      <c r="C206" t="s">
        <v>12</v>
      </c>
      <c r="D206" t="s">
        <v>30</v>
      </c>
      <c r="E206">
        <v>2479.9499999999998</v>
      </c>
      <c r="F206">
        <v>8</v>
      </c>
      <c r="G206" t="s">
        <v>14</v>
      </c>
      <c r="H206">
        <v>467.11</v>
      </c>
      <c r="I206">
        <v>792.21</v>
      </c>
      <c r="J206" t="s">
        <v>15</v>
      </c>
      <c r="K206">
        <v>0.2</v>
      </c>
      <c r="L206" t="s">
        <v>21</v>
      </c>
      <c r="M206" t="s">
        <v>29</v>
      </c>
      <c r="N206" t="s">
        <v>72</v>
      </c>
    </row>
    <row r="207" spans="1:14" x14ac:dyDescent="0.3">
      <c r="A207">
        <v>1044</v>
      </c>
      <c r="B207" s="13">
        <v>45228</v>
      </c>
      <c r="C207" t="s">
        <v>31</v>
      </c>
      <c r="D207" t="s">
        <v>30</v>
      </c>
      <c r="E207">
        <v>1996.77</v>
      </c>
      <c r="F207">
        <v>11</v>
      </c>
      <c r="G207" t="s">
        <v>14</v>
      </c>
      <c r="H207">
        <v>1812.66</v>
      </c>
      <c r="I207">
        <v>2196.3000000000002</v>
      </c>
      <c r="J207" t="s">
        <v>15</v>
      </c>
      <c r="K207">
        <v>0.08</v>
      </c>
      <c r="L207" t="s">
        <v>16</v>
      </c>
      <c r="M207" t="s">
        <v>29</v>
      </c>
      <c r="N207" t="s">
        <v>62</v>
      </c>
    </row>
    <row r="208" spans="1:14" x14ac:dyDescent="0.3">
      <c r="A208">
        <v>1024</v>
      </c>
      <c r="B208" s="13">
        <v>45289</v>
      </c>
      <c r="C208" t="s">
        <v>12</v>
      </c>
      <c r="D208" t="s">
        <v>30</v>
      </c>
      <c r="E208">
        <v>9190.57</v>
      </c>
      <c r="F208">
        <v>5</v>
      </c>
      <c r="G208" t="s">
        <v>24</v>
      </c>
      <c r="H208">
        <v>3417.9</v>
      </c>
      <c r="I208">
        <v>3714.52</v>
      </c>
      <c r="J208" t="s">
        <v>20</v>
      </c>
      <c r="K208">
        <v>0.27</v>
      </c>
      <c r="L208" t="s">
        <v>21</v>
      </c>
      <c r="M208" t="s">
        <v>17</v>
      </c>
      <c r="N208" t="s">
        <v>72</v>
      </c>
    </row>
    <row r="209" spans="1:14" x14ac:dyDescent="0.3">
      <c r="A209">
        <v>1079</v>
      </c>
      <c r="B209" s="13">
        <v>45144</v>
      </c>
      <c r="C209" t="s">
        <v>18</v>
      </c>
      <c r="D209" t="s">
        <v>30</v>
      </c>
      <c r="E209">
        <v>1107.8599999999999</v>
      </c>
      <c r="F209">
        <v>45</v>
      </c>
      <c r="G209" t="s">
        <v>14</v>
      </c>
      <c r="H209">
        <v>1406.9</v>
      </c>
      <c r="I209" s="14" t="s">
        <v>261</v>
      </c>
      <c r="J209" t="s">
        <v>15</v>
      </c>
      <c r="K209">
        <v>0.17</v>
      </c>
      <c r="L209" t="s">
        <v>16</v>
      </c>
      <c r="M209" t="s">
        <v>17</v>
      </c>
      <c r="N209" t="s">
        <v>64</v>
      </c>
    </row>
    <row r="210" spans="1:14" x14ac:dyDescent="0.3">
      <c r="A210">
        <v>1059</v>
      </c>
      <c r="B210" s="13">
        <v>45067</v>
      </c>
      <c r="C210" t="s">
        <v>26</v>
      </c>
      <c r="D210" t="s">
        <v>30</v>
      </c>
      <c r="E210">
        <v>5108.9799999999996</v>
      </c>
      <c r="F210">
        <v>37</v>
      </c>
      <c r="G210" t="s">
        <v>28</v>
      </c>
      <c r="H210">
        <v>4146.99</v>
      </c>
      <c r="I210" s="14" t="s">
        <v>260</v>
      </c>
      <c r="J210" t="s">
        <v>20</v>
      </c>
      <c r="K210">
        <v>0.06</v>
      </c>
      <c r="L210" t="s">
        <v>16</v>
      </c>
      <c r="M210" t="s">
        <v>17</v>
      </c>
      <c r="N210" t="s">
        <v>71</v>
      </c>
    </row>
    <row r="211" spans="1:14" x14ac:dyDescent="0.3">
      <c r="A211">
        <v>1032</v>
      </c>
      <c r="B211" s="13">
        <v>45030</v>
      </c>
      <c r="C211" t="s">
        <v>18</v>
      </c>
      <c r="D211" t="s">
        <v>30</v>
      </c>
      <c r="E211">
        <v>2286.44</v>
      </c>
      <c r="F211">
        <v>45</v>
      </c>
      <c r="G211" t="s">
        <v>14</v>
      </c>
      <c r="H211">
        <v>3712.35</v>
      </c>
      <c r="I211">
        <v>3780.88</v>
      </c>
      <c r="J211" t="s">
        <v>15</v>
      </c>
      <c r="K211">
        <v>7.0000000000000007E-2</v>
      </c>
      <c r="L211" t="s">
        <v>16</v>
      </c>
      <c r="M211" t="s">
        <v>17</v>
      </c>
      <c r="N211" t="s">
        <v>64</v>
      </c>
    </row>
    <row r="212" spans="1:14" x14ac:dyDescent="0.3">
      <c r="A212">
        <v>1096</v>
      </c>
      <c r="B212" s="13">
        <v>45136</v>
      </c>
      <c r="C212" t="s">
        <v>31</v>
      </c>
      <c r="D212" t="s">
        <v>19</v>
      </c>
      <c r="E212">
        <v>485.41</v>
      </c>
      <c r="F212">
        <v>38</v>
      </c>
      <c r="G212" t="s">
        <v>28</v>
      </c>
      <c r="H212">
        <v>3955.66</v>
      </c>
      <c r="I212">
        <v>4270.59</v>
      </c>
      <c r="J212" t="s">
        <v>20</v>
      </c>
      <c r="K212">
        <v>0.15</v>
      </c>
      <c r="L212" t="s">
        <v>21</v>
      </c>
      <c r="M212" t="s">
        <v>29</v>
      </c>
      <c r="N212" t="s">
        <v>88</v>
      </c>
    </row>
    <row r="213" spans="1:14" x14ac:dyDescent="0.3">
      <c r="A213">
        <v>1088</v>
      </c>
      <c r="B213" s="13">
        <v>45037</v>
      </c>
      <c r="C213" t="s">
        <v>31</v>
      </c>
      <c r="D213" t="s">
        <v>13</v>
      </c>
      <c r="E213">
        <v>456.59</v>
      </c>
      <c r="F213">
        <v>29</v>
      </c>
      <c r="G213" t="s">
        <v>24</v>
      </c>
      <c r="H213">
        <v>639.58000000000004</v>
      </c>
      <c r="I213">
        <v>1107.45</v>
      </c>
      <c r="J213" t="s">
        <v>15</v>
      </c>
      <c r="K213">
        <v>0.28999999999999998</v>
      </c>
      <c r="L213" t="s">
        <v>16</v>
      </c>
      <c r="M213" t="s">
        <v>17</v>
      </c>
      <c r="N213" t="s">
        <v>67</v>
      </c>
    </row>
    <row r="214" spans="1:14" x14ac:dyDescent="0.3">
      <c r="A214">
        <v>1052</v>
      </c>
      <c r="B214" s="13">
        <v>45030</v>
      </c>
      <c r="C214" t="s">
        <v>18</v>
      </c>
      <c r="D214" t="s">
        <v>30</v>
      </c>
      <c r="E214">
        <v>1834.7</v>
      </c>
      <c r="F214">
        <v>5</v>
      </c>
      <c r="G214" t="s">
        <v>24</v>
      </c>
      <c r="H214">
        <v>745.71</v>
      </c>
      <c r="I214" s="14" t="s">
        <v>259</v>
      </c>
      <c r="J214" t="s">
        <v>20</v>
      </c>
      <c r="K214">
        <v>0.23</v>
      </c>
      <c r="L214" t="s">
        <v>25</v>
      </c>
      <c r="M214" t="s">
        <v>17</v>
      </c>
      <c r="N214" t="s">
        <v>64</v>
      </c>
    </row>
    <row r="215" spans="1:14" x14ac:dyDescent="0.3">
      <c r="A215">
        <v>1062</v>
      </c>
      <c r="B215" s="13">
        <v>45242</v>
      </c>
      <c r="C215" t="s">
        <v>12</v>
      </c>
      <c r="D215" t="s">
        <v>27</v>
      </c>
      <c r="E215">
        <v>8681.0300000000007</v>
      </c>
      <c r="F215">
        <v>9</v>
      </c>
      <c r="G215" t="s">
        <v>28</v>
      </c>
      <c r="H215">
        <v>1468.05</v>
      </c>
      <c r="I215">
        <v>1838.21</v>
      </c>
      <c r="J215" t="s">
        <v>15</v>
      </c>
      <c r="K215">
        <v>0.15</v>
      </c>
      <c r="L215" t="s">
        <v>25</v>
      </c>
      <c r="M215" t="s">
        <v>17</v>
      </c>
      <c r="N215" t="s">
        <v>100</v>
      </c>
    </row>
    <row r="216" spans="1:14" x14ac:dyDescent="0.3">
      <c r="A216">
        <v>1058</v>
      </c>
      <c r="B216" s="13">
        <v>45097</v>
      </c>
      <c r="C216" t="s">
        <v>12</v>
      </c>
      <c r="D216" t="s">
        <v>19</v>
      </c>
      <c r="E216">
        <v>2896.54</v>
      </c>
      <c r="F216">
        <v>48</v>
      </c>
      <c r="G216" t="s">
        <v>14</v>
      </c>
      <c r="H216">
        <v>2614.48</v>
      </c>
      <c r="I216">
        <v>3049.04</v>
      </c>
      <c r="J216" t="s">
        <v>15</v>
      </c>
      <c r="K216">
        <v>0.1</v>
      </c>
      <c r="L216" t="s">
        <v>21</v>
      </c>
      <c r="M216" t="s">
        <v>17</v>
      </c>
      <c r="N216" t="s">
        <v>74</v>
      </c>
    </row>
    <row r="217" spans="1:14" x14ac:dyDescent="0.3">
      <c r="A217">
        <v>1052</v>
      </c>
      <c r="B217" s="13">
        <v>45282</v>
      </c>
      <c r="C217" t="s">
        <v>31</v>
      </c>
      <c r="D217" t="s">
        <v>19</v>
      </c>
      <c r="E217">
        <v>9509.5499999999993</v>
      </c>
      <c r="F217">
        <v>2</v>
      </c>
      <c r="G217" t="s">
        <v>24</v>
      </c>
      <c r="H217">
        <v>3752.68</v>
      </c>
      <c r="I217">
        <v>4017.91</v>
      </c>
      <c r="J217" t="s">
        <v>20</v>
      </c>
      <c r="K217">
        <v>0.16</v>
      </c>
      <c r="L217" t="s">
        <v>25</v>
      </c>
      <c r="M217" t="s">
        <v>29</v>
      </c>
      <c r="N217" t="s">
        <v>88</v>
      </c>
    </row>
    <row r="218" spans="1:14" x14ac:dyDescent="0.3">
      <c r="A218">
        <v>1012</v>
      </c>
      <c r="B218" s="13">
        <v>45250</v>
      </c>
      <c r="C218" t="s">
        <v>23</v>
      </c>
      <c r="D218" t="s">
        <v>30</v>
      </c>
      <c r="E218">
        <v>5858.06</v>
      </c>
      <c r="F218">
        <v>1</v>
      </c>
      <c r="G218" t="s">
        <v>22</v>
      </c>
      <c r="H218">
        <v>4190.83</v>
      </c>
      <c r="I218" s="14" t="s">
        <v>258</v>
      </c>
      <c r="J218" t="s">
        <v>20</v>
      </c>
      <c r="K218">
        <v>0.22</v>
      </c>
      <c r="L218" t="s">
        <v>25</v>
      </c>
      <c r="M218" t="s">
        <v>29</v>
      </c>
      <c r="N218" t="s">
        <v>60</v>
      </c>
    </row>
    <row r="219" spans="1:14" x14ac:dyDescent="0.3">
      <c r="A219">
        <v>1039</v>
      </c>
      <c r="B219" s="13">
        <v>45059</v>
      </c>
      <c r="C219" t="s">
        <v>12</v>
      </c>
      <c r="D219" t="s">
        <v>19</v>
      </c>
      <c r="E219">
        <v>4422.4799999999996</v>
      </c>
      <c r="F219">
        <v>40</v>
      </c>
      <c r="G219" t="s">
        <v>24</v>
      </c>
      <c r="H219">
        <v>3536.46</v>
      </c>
      <c r="I219">
        <v>3945.82</v>
      </c>
      <c r="J219" t="s">
        <v>15</v>
      </c>
      <c r="K219">
        <v>0.24</v>
      </c>
      <c r="L219" t="s">
        <v>25</v>
      </c>
      <c r="M219" t="s">
        <v>29</v>
      </c>
      <c r="N219" t="s">
        <v>74</v>
      </c>
    </row>
    <row r="220" spans="1:14" x14ac:dyDescent="0.3">
      <c r="A220">
        <v>1002</v>
      </c>
      <c r="B220" s="13">
        <v>45219</v>
      </c>
      <c r="C220" t="s">
        <v>18</v>
      </c>
      <c r="D220" t="s">
        <v>30</v>
      </c>
      <c r="E220">
        <v>5842.88</v>
      </c>
      <c r="F220">
        <v>30</v>
      </c>
      <c r="G220" t="s">
        <v>14</v>
      </c>
      <c r="H220">
        <v>4646.55</v>
      </c>
      <c r="I220">
        <v>4784.28</v>
      </c>
      <c r="J220" t="s">
        <v>20</v>
      </c>
      <c r="K220">
        <v>0.1</v>
      </c>
      <c r="L220" t="s">
        <v>21</v>
      </c>
      <c r="M220" t="s">
        <v>17</v>
      </c>
      <c r="N220" t="s">
        <v>64</v>
      </c>
    </row>
    <row r="221" spans="1:14" x14ac:dyDescent="0.3">
      <c r="A221">
        <v>1003</v>
      </c>
      <c r="B221" s="13">
        <v>45254</v>
      </c>
      <c r="C221" t="s">
        <v>12</v>
      </c>
      <c r="D221" t="s">
        <v>13</v>
      </c>
      <c r="E221">
        <v>5215.3100000000004</v>
      </c>
      <c r="F221">
        <v>11</v>
      </c>
      <c r="G221" t="s">
        <v>22</v>
      </c>
      <c r="H221">
        <v>3706.78</v>
      </c>
      <c r="I221">
        <v>3862.26</v>
      </c>
      <c r="J221" t="s">
        <v>15</v>
      </c>
      <c r="K221">
        <v>0.22</v>
      </c>
      <c r="L221" t="s">
        <v>21</v>
      </c>
      <c r="M221" t="s">
        <v>17</v>
      </c>
      <c r="N221" t="s">
        <v>83</v>
      </c>
    </row>
    <row r="222" spans="1:14" x14ac:dyDescent="0.3">
      <c r="A222">
        <v>1056</v>
      </c>
      <c r="B222" s="13">
        <v>45053</v>
      </c>
      <c r="C222" t="s">
        <v>18</v>
      </c>
      <c r="D222" t="s">
        <v>13</v>
      </c>
      <c r="E222">
        <v>7611.88</v>
      </c>
      <c r="F222">
        <v>28</v>
      </c>
      <c r="G222" t="s">
        <v>14</v>
      </c>
      <c r="H222">
        <v>1566.03</v>
      </c>
      <c r="I222">
        <v>1576.34</v>
      </c>
      <c r="J222" t="s">
        <v>20</v>
      </c>
      <c r="K222">
        <v>0.2</v>
      </c>
      <c r="L222" t="s">
        <v>25</v>
      </c>
      <c r="M222" t="s">
        <v>29</v>
      </c>
      <c r="N222" t="s">
        <v>80</v>
      </c>
    </row>
    <row r="223" spans="1:14" x14ac:dyDescent="0.3">
      <c r="A223">
        <v>1081</v>
      </c>
      <c r="B223" s="13">
        <v>45032</v>
      </c>
      <c r="C223" t="s">
        <v>31</v>
      </c>
      <c r="D223" t="s">
        <v>19</v>
      </c>
      <c r="E223">
        <v>2896.71</v>
      </c>
      <c r="F223">
        <v>44</v>
      </c>
      <c r="G223" t="s">
        <v>28</v>
      </c>
      <c r="H223">
        <v>1362.15</v>
      </c>
      <c r="I223" s="14" t="s">
        <v>257</v>
      </c>
      <c r="J223" t="s">
        <v>15</v>
      </c>
      <c r="K223">
        <v>0.28999999999999998</v>
      </c>
      <c r="L223" t="s">
        <v>21</v>
      </c>
      <c r="M223" t="s">
        <v>29</v>
      </c>
      <c r="N223" t="s">
        <v>88</v>
      </c>
    </row>
    <row r="224" spans="1:14" x14ac:dyDescent="0.3">
      <c r="A224">
        <v>1059</v>
      </c>
      <c r="B224" s="13">
        <v>45018</v>
      </c>
      <c r="C224" t="s">
        <v>12</v>
      </c>
      <c r="D224" t="s">
        <v>19</v>
      </c>
      <c r="E224">
        <v>3595.2</v>
      </c>
      <c r="F224">
        <v>12</v>
      </c>
      <c r="G224" t="s">
        <v>22</v>
      </c>
      <c r="H224">
        <v>3496.15</v>
      </c>
      <c r="I224">
        <v>3955.75</v>
      </c>
      <c r="J224" t="s">
        <v>20</v>
      </c>
      <c r="K224">
        <v>0.28000000000000003</v>
      </c>
      <c r="L224" t="s">
        <v>16</v>
      </c>
      <c r="M224" t="s">
        <v>17</v>
      </c>
      <c r="N224" t="s">
        <v>74</v>
      </c>
    </row>
    <row r="225" spans="1:14" x14ac:dyDescent="0.3">
      <c r="A225">
        <v>1002</v>
      </c>
      <c r="B225" s="13">
        <v>45213</v>
      </c>
      <c r="C225" t="s">
        <v>18</v>
      </c>
      <c r="D225" t="s">
        <v>27</v>
      </c>
      <c r="E225">
        <v>8951.5300000000007</v>
      </c>
      <c r="F225">
        <v>39</v>
      </c>
      <c r="G225" t="s">
        <v>14</v>
      </c>
      <c r="H225">
        <v>1004.71</v>
      </c>
      <c r="I225">
        <v>1389.35</v>
      </c>
      <c r="J225" t="s">
        <v>15</v>
      </c>
      <c r="K225">
        <v>0.24</v>
      </c>
      <c r="L225" t="s">
        <v>25</v>
      </c>
      <c r="M225" t="s">
        <v>29</v>
      </c>
      <c r="N225" t="s">
        <v>58</v>
      </c>
    </row>
    <row r="226" spans="1:14" x14ac:dyDescent="0.3">
      <c r="A226">
        <v>1002</v>
      </c>
      <c r="B226" s="13">
        <v>44977</v>
      </c>
      <c r="C226" t="s">
        <v>31</v>
      </c>
      <c r="D226" t="s">
        <v>19</v>
      </c>
      <c r="E226">
        <v>9469.92</v>
      </c>
      <c r="F226">
        <v>26</v>
      </c>
      <c r="G226" t="s">
        <v>22</v>
      </c>
      <c r="H226">
        <v>508.94</v>
      </c>
      <c r="I226">
        <v>557.69000000000005</v>
      </c>
      <c r="J226" t="s">
        <v>15</v>
      </c>
      <c r="K226">
        <v>0.22</v>
      </c>
      <c r="L226" t="s">
        <v>21</v>
      </c>
      <c r="M226" t="s">
        <v>17</v>
      </c>
      <c r="N226" t="s">
        <v>88</v>
      </c>
    </row>
    <row r="227" spans="1:14" x14ac:dyDescent="0.3">
      <c r="A227">
        <v>1092</v>
      </c>
      <c r="B227" s="13">
        <v>44955</v>
      </c>
      <c r="C227" t="s">
        <v>23</v>
      </c>
      <c r="D227" t="s">
        <v>27</v>
      </c>
      <c r="E227">
        <v>8936.33</v>
      </c>
      <c r="F227">
        <v>13</v>
      </c>
      <c r="G227" t="s">
        <v>14</v>
      </c>
      <c r="H227">
        <v>2684.5</v>
      </c>
      <c r="I227">
        <v>2913.78</v>
      </c>
      <c r="J227" t="s">
        <v>15</v>
      </c>
      <c r="K227">
        <v>0.08</v>
      </c>
      <c r="L227" t="s">
        <v>21</v>
      </c>
      <c r="M227" t="s">
        <v>17</v>
      </c>
      <c r="N227" t="s">
        <v>96</v>
      </c>
    </row>
    <row r="228" spans="1:14" x14ac:dyDescent="0.3">
      <c r="A228">
        <v>1054</v>
      </c>
      <c r="B228" s="13">
        <v>45222</v>
      </c>
      <c r="C228" t="s">
        <v>18</v>
      </c>
      <c r="D228" t="s">
        <v>13</v>
      </c>
      <c r="E228">
        <v>4252.54</v>
      </c>
      <c r="F228">
        <v>8</v>
      </c>
      <c r="G228" t="s">
        <v>22</v>
      </c>
      <c r="H228">
        <v>4117.13</v>
      </c>
      <c r="I228">
        <v>4177.0600000000004</v>
      </c>
      <c r="J228" t="s">
        <v>20</v>
      </c>
      <c r="K228">
        <v>0.25</v>
      </c>
      <c r="L228" t="s">
        <v>25</v>
      </c>
      <c r="M228" t="s">
        <v>17</v>
      </c>
      <c r="N228" t="s">
        <v>80</v>
      </c>
    </row>
    <row r="229" spans="1:14" x14ac:dyDescent="0.3">
      <c r="A229">
        <v>1087</v>
      </c>
      <c r="B229" s="13">
        <v>45223</v>
      </c>
      <c r="C229" t="s">
        <v>23</v>
      </c>
      <c r="D229" t="s">
        <v>13</v>
      </c>
      <c r="E229">
        <v>7825.62</v>
      </c>
      <c r="F229">
        <v>28</v>
      </c>
      <c r="G229" t="s">
        <v>14</v>
      </c>
      <c r="H229">
        <v>551.83000000000004</v>
      </c>
      <c r="I229">
        <v>569.63</v>
      </c>
      <c r="J229" t="s">
        <v>15</v>
      </c>
      <c r="K229">
        <v>0.13</v>
      </c>
      <c r="L229" t="s">
        <v>21</v>
      </c>
      <c r="M229" t="s">
        <v>17</v>
      </c>
      <c r="N229" t="s">
        <v>69</v>
      </c>
    </row>
    <row r="230" spans="1:14" x14ac:dyDescent="0.3">
      <c r="A230">
        <v>1096</v>
      </c>
      <c r="B230" s="13">
        <v>45140</v>
      </c>
      <c r="C230" t="s">
        <v>23</v>
      </c>
      <c r="D230" t="s">
        <v>30</v>
      </c>
      <c r="E230">
        <v>4815.72</v>
      </c>
      <c r="F230">
        <v>30</v>
      </c>
      <c r="G230" t="s">
        <v>28</v>
      </c>
      <c r="H230">
        <v>3969.86</v>
      </c>
      <c r="I230">
        <v>4281.79</v>
      </c>
      <c r="J230" t="s">
        <v>20</v>
      </c>
      <c r="K230">
        <v>0.08</v>
      </c>
      <c r="L230" t="s">
        <v>25</v>
      </c>
      <c r="M230" t="s">
        <v>17</v>
      </c>
      <c r="N230" t="s">
        <v>60</v>
      </c>
    </row>
    <row r="231" spans="1:14" x14ac:dyDescent="0.3">
      <c r="A231">
        <v>1097</v>
      </c>
      <c r="B231" s="13">
        <v>45193</v>
      </c>
      <c r="C231" t="s">
        <v>26</v>
      </c>
      <c r="D231" t="s">
        <v>13</v>
      </c>
      <c r="E231">
        <v>5025.6400000000003</v>
      </c>
      <c r="F231">
        <v>9</v>
      </c>
      <c r="G231" t="s">
        <v>22</v>
      </c>
      <c r="H231">
        <v>4067.28</v>
      </c>
      <c r="I231">
        <v>4548.09</v>
      </c>
      <c r="J231" t="s">
        <v>20</v>
      </c>
      <c r="K231">
        <v>0.12</v>
      </c>
      <c r="L231" t="s">
        <v>21</v>
      </c>
      <c r="M231" t="s">
        <v>17</v>
      </c>
      <c r="N231" t="s">
        <v>55</v>
      </c>
    </row>
    <row r="232" spans="1:14" x14ac:dyDescent="0.3">
      <c r="A232">
        <v>1001</v>
      </c>
      <c r="B232" s="13">
        <v>45183</v>
      </c>
      <c r="C232" t="s">
        <v>12</v>
      </c>
      <c r="D232" t="s">
        <v>27</v>
      </c>
      <c r="E232">
        <v>2126.33</v>
      </c>
      <c r="F232">
        <v>39</v>
      </c>
      <c r="G232" t="s">
        <v>22</v>
      </c>
      <c r="H232">
        <v>2437.2600000000002</v>
      </c>
      <c r="I232">
        <v>2889.67</v>
      </c>
      <c r="J232" t="s">
        <v>20</v>
      </c>
      <c r="K232">
        <v>0.25</v>
      </c>
      <c r="L232" t="s">
        <v>16</v>
      </c>
      <c r="M232" t="s">
        <v>29</v>
      </c>
      <c r="N232" t="s">
        <v>100</v>
      </c>
    </row>
    <row r="233" spans="1:14" x14ac:dyDescent="0.3">
      <c r="A233">
        <v>1019</v>
      </c>
      <c r="B233" s="13">
        <v>45228</v>
      </c>
      <c r="C233" t="s">
        <v>18</v>
      </c>
      <c r="D233" t="s">
        <v>19</v>
      </c>
      <c r="E233">
        <v>5952.19</v>
      </c>
      <c r="F233">
        <v>31</v>
      </c>
      <c r="G233" t="s">
        <v>22</v>
      </c>
      <c r="H233">
        <v>333.69</v>
      </c>
      <c r="I233">
        <v>685.1</v>
      </c>
      <c r="J233" t="s">
        <v>15</v>
      </c>
      <c r="K233">
        <v>0.04</v>
      </c>
      <c r="L233" t="s">
        <v>25</v>
      </c>
      <c r="M233" t="s">
        <v>29</v>
      </c>
      <c r="N233" t="s">
        <v>56</v>
      </c>
    </row>
    <row r="234" spans="1:14" x14ac:dyDescent="0.3">
      <c r="A234">
        <v>1002</v>
      </c>
      <c r="B234" s="13">
        <v>45027</v>
      </c>
      <c r="C234" t="s">
        <v>23</v>
      </c>
      <c r="D234" t="s">
        <v>30</v>
      </c>
      <c r="E234">
        <v>1942.75</v>
      </c>
      <c r="F234">
        <v>21</v>
      </c>
      <c r="G234" t="s">
        <v>22</v>
      </c>
      <c r="H234">
        <v>914.22</v>
      </c>
      <c r="I234">
        <v>971.57</v>
      </c>
      <c r="J234" t="s">
        <v>20</v>
      </c>
      <c r="K234">
        <v>0.14000000000000001</v>
      </c>
      <c r="L234" t="s">
        <v>16</v>
      </c>
      <c r="M234" t="s">
        <v>29</v>
      </c>
      <c r="N234" t="s">
        <v>60</v>
      </c>
    </row>
    <row r="235" spans="1:14" x14ac:dyDescent="0.3">
      <c r="A235">
        <v>1053</v>
      </c>
      <c r="B235" s="13">
        <v>45272</v>
      </c>
      <c r="C235" t="s">
        <v>26</v>
      </c>
      <c r="D235" t="s">
        <v>27</v>
      </c>
      <c r="E235">
        <v>3382.49</v>
      </c>
      <c r="F235">
        <v>47</v>
      </c>
      <c r="G235" t="s">
        <v>28</v>
      </c>
      <c r="H235">
        <v>3551.76</v>
      </c>
      <c r="I235" s="14" t="s">
        <v>256</v>
      </c>
      <c r="J235" t="s">
        <v>20</v>
      </c>
      <c r="K235">
        <v>0.15</v>
      </c>
      <c r="L235" t="s">
        <v>25</v>
      </c>
      <c r="M235" t="s">
        <v>17</v>
      </c>
      <c r="N235" t="s">
        <v>63</v>
      </c>
    </row>
    <row r="236" spans="1:14" x14ac:dyDescent="0.3">
      <c r="A236">
        <v>1044</v>
      </c>
      <c r="B236" s="13">
        <v>45036</v>
      </c>
      <c r="C236" t="s">
        <v>31</v>
      </c>
      <c r="D236" t="s">
        <v>19</v>
      </c>
      <c r="E236">
        <v>8564.7999999999993</v>
      </c>
      <c r="F236">
        <v>34</v>
      </c>
      <c r="G236" t="s">
        <v>22</v>
      </c>
      <c r="H236">
        <v>3573.3</v>
      </c>
      <c r="I236">
        <v>3740.13</v>
      </c>
      <c r="J236" t="s">
        <v>20</v>
      </c>
      <c r="K236">
        <v>0.01</v>
      </c>
      <c r="L236" t="s">
        <v>21</v>
      </c>
      <c r="M236" t="s">
        <v>29</v>
      </c>
      <c r="N236" t="s">
        <v>88</v>
      </c>
    </row>
    <row r="237" spans="1:14" x14ac:dyDescent="0.3">
      <c r="A237">
        <v>1090</v>
      </c>
      <c r="B237" s="13">
        <v>45108</v>
      </c>
      <c r="C237" t="s">
        <v>18</v>
      </c>
      <c r="D237" t="s">
        <v>30</v>
      </c>
      <c r="E237">
        <v>2150.0500000000002</v>
      </c>
      <c r="F237">
        <v>31</v>
      </c>
      <c r="G237" t="s">
        <v>24</v>
      </c>
      <c r="H237">
        <v>4496.8599999999997</v>
      </c>
      <c r="I237" s="14" t="s">
        <v>255</v>
      </c>
      <c r="J237" t="s">
        <v>15</v>
      </c>
      <c r="K237">
        <v>0.06</v>
      </c>
      <c r="L237" t="s">
        <v>16</v>
      </c>
      <c r="M237" t="s">
        <v>17</v>
      </c>
      <c r="N237" t="s">
        <v>64</v>
      </c>
    </row>
    <row r="238" spans="1:14" x14ac:dyDescent="0.3">
      <c r="A238">
        <v>1032</v>
      </c>
      <c r="B238" s="13">
        <v>45239</v>
      </c>
      <c r="C238" t="s">
        <v>23</v>
      </c>
      <c r="D238" t="s">
        <v>13</v>
      </c>
      <c r="E238">
        <v>804.47</v>
      </c>
      <c r="F238">
        <v>25</v>
      </c>
      <c r="G238" t="s">
        <v>28</v>
      </c>
      <c r="H238">
        <v>2934.3</v>
      </c>
      <c r="I238">
        <v>3337.4</v>
      </c>
      <c r="J238" t="s">
        <v>20</v>
      </c>
      <c r="K238">
        <v>0.25</v>
      </c>
      <c r="L238" t="s">
        <v>21</v>
      </c>
      <c r="M238" t="s">
        <v>17</v>
      </c>
      <c r="N238" t="s">
        <v>69</v>
      </c>
    </row>
    <row r="239" spans="1:14" x14ac:dyDescent="0.3">
      <c r="A239">
        <v>1070</v>
      </c>
      <c r="B239" s="13">
        <v>44927</v>
      </c>
      <c r="C239" t="s">
        <v>12</v>
      </c>
      <c r="D239" t="s">
        <v>27</v>
      </c>
      <c r="E239">
        <v>783.18</v>
      </c>
      <c r="F239">
        <v>12</v>
      </c>
      <c r="G239" t="s">
        <v>24</v>
      </c>
      <c r="H239">
        <v>664.33</v>
      </c>
      <c r="I239">
        <v>863.03</v>
      </c>
      <c r="J239" t="s">
        <v>20</v>
      </c>
      <c r="K239">
        <v>0.25</v>
      </c>
      <c r="L239" t="s">
        <v>25</v>
      </c>
      <c r="M239" t="s">
        <v>17</v>
      </c>
      <c r="N239" t="s">
        <v>100</v>
      </c>
    </row>
    <row r="240" spans="1:14" x14ac:dyDescent="0.3">
      <c r="A240">
        <v>1032</v>
      </c>
      <c r="B240" s="13">
        <v>45245</v>
      </c>
      <c r="C240" t="s">
        <v>26</v>
      </c>
      <c r="D240" t="s">
        <v>19</v>
      </c>
      <c r="E240">
        <v>9413.77</v>
      </c>
      <c r="F240">
        <v>1</v>
      </c>
      <c r="G240" t="s">
        <v>22</v>
      </c>
      <c r="H240">
        <v>651</v>
      </c>
      <c r="I240">
        <v>865.76</v>
      </c>
      <c r="J240" t="s">
        <v>20</v>
      </c>
      <c r="K240">
        <v>0.09</v>
      </c>
      <c r="L240" t="s">
        <v>25</v>
      </c>
      <c r="M240" t="s">
        <v>17</v>
      </c>
      <c r="N240" t="s">
        <v>76</v>
      </c>
    </row>
    <row r="241" spans="1:14" x14ac:dyDescent="0.3">
      <c r="A241">
        <v>1068</v>
      </c>
      <c r="B241" s="13">
        <v>44981</v>
      </c>
      <c r="C241" t="s">
        <v>23</v>
      </c>
      <c r="D241" t="s">
        <v>30</v>
      </c>
      <c r="E241">
        <v>5118.51</v>
      </c>
      <c r="F241">
        <v>22</v>
      </c>
      <c r="G241" t="s">
        <v>14</v>
      </c>
      <c r="H241">
        <v>3619.61</v>
      </c>
      <c r="I241">
        <v>3651.42</v>
      </c>
      <c r="J241" t="s">
        <v>20</v>
      </c>
      <c r="K241">
        <v>0.26</v>
      </c>
      <c r="L241" t="s">
        <v>25</v>
      </c>
      <c r="M241" t="s">
        <v>29</v>
      </c>
      <c r="N241" t="s">
        <v>60</v>
      </c>
    </row>
    <row r="242" spans="1:14" x14ac:dyDescent="0.3">
      <c r="A242">
        <v>1055</v>
      </c>
      <c r="B242" s="13">
        <v>45075</v>
      </c>
      <c r="C242" t="s">
        <v>12</v>
      </c>
      <c r="D242" t="s">
        <v>30</v>
      </c>
      <c r="E242">
        <v>4153.18</v>
      </c>
      <c r="F242">
        <v>40</v>
      </c>
      <c r="G242" t="s">
        <v>24</v>
      </c>
      <c r="H242">
        <v>959.73</v>
      </c>
      <c r="I242">
        <v>1111.4100000000001</v>
      </c>
      <c r="J242" t="s">
        <v>15</v>
      </c>
      <c r="K242">
        <v>0.23</v>
      </c>
      <c r="L242" t="s">
        <v>25</v>
      </c>
      <c r="M242" t="s">
        <v>29</v>
      </c>
      <c r="N242" t="s">
        <v>72</v>
      </c>
    </row>
    <row r="243" spans="1:14" x14ac:dyDescent="0.3">
      <c r="A243">
        <v>1075</v>
      </c>
      <c r="B243" s="13">
        <v>45235</v>
      </c>
      <c r="C243" t="s">
        <v>23</v>
      </c>
      <c r="D243" t="s">
        <v>13</v>
      </c>
      <c r="E243">
        <v>8127.7</v>
      </c>
      <c r="F243">
        <v>37</v>
      </c>
      <c r="G243" t="s">
        <v>22</v>
      </c>
      <c r="H243">
        <v>1675.51</v>
      </c>
      <c r="I243" s="14" t="s">
        <v>254</v>
      </c>
      <c r="J243" t="s">
        <v>15</v>
      </c>
      <c r="K243">
        <v>0.13</v>
      </c>
      <c r="L243" t="s">
        <v>25</v>
      </c>
      <c r="M243" t="s">
        <v>29</v>
      </c>
      <c r="N243" t="s">
        <v>69</v>
      </c>
    </row>
    <row r="244" spans="1:14" x14ac:dyDescent="0.3">
      <c r="A244">
        <v>1056</v>
      </c>
      <c r="B244" s="13">
        <v>45063</v>
      </c>
      <c r="C244" t="s">
        <v>18</v>
      </c>
      <c r="D244" t="s">
        <v>19</v>
      </c>
      <c r="E244">
        <v>8374.68</v>
      </c>
      <c r="F244">
        <v>47</v>
      </c>
      <c r="G244" t="s">
        <v>24</v>
      </c>
      <c r="H244">
        <v>2461.6999999999998</v>
      </c>
      <c r="I244">
        <v>2529.02</v>
      </c>
      <c r="J244" t="s">
        <v>20</v>
      </c>
      <c r="K244">
        <v>0.22</v>
      </c>
      <c r="L244" t="s">
        <v>16</v>
      </c>
      <c r="M244" t="s">
        <v>17</v>
      </c>
      <c r="N244" t="s">
        <v>56</v>
      </c>
    </row>
    <row r="245" spans="1:14" x14ac:dyDescent="0.3">
      <c r="A245">
        <v>1017</v>
      </c>
      <c r="B245" s="13">
        <v>45128</v>
      </c>
      <c r="C245" t="s">
        <v>18</v>
      </c>
      <c r="D245" t="s">
        <v>13</v>
      </c>
      <c r="E245">
        <v>3388.69</v>
      </c>
      <c r="F245">
        <v>1</v>
      </c>
      <c r="G245" t="s">
        <v>22</v>
      </c>
      <c r="H245">
        <v>172.59</v>
      </c>
      <c r="I245">
        <v>404.69</v>
      </c>
      <c r="J245" t="s">
        <v>20</v>
      </c>
      <c r="K245">
        <v>0.28999999999999998</v>
      </c>
      <c r="L245" t="s">
        <v>25</v>
      </c>
      <c r="M245" t="s">
        <v>29</v>
      </c>
      <c r="N245" t="s">
        <v>80</v>
      </c>
    </row>
    <row r="246" spans="1:14" x14ac:dyDescent="0.3">
      <c r="A246">
        <v>1038</v>
      </c>
      <c r="B246" s="13">
        <v>45239</v>
      </c>
      <c r="C246" t="s">
        <v>18</v>
      </c>
      <c r="D246" t="s">
        <v>13</v>
      </c>
      <c r="E246">
        <v>6966.82</v>
      </c>
      <c r="F246">
        <v>1</v>
      </c>
      <c r="G246" t="s">
        <v>22</v>
      </c>
      <c r="H246">
        <v>1281.6500000000001</v>
      </c>
      <c r="I246">
        <v>1709.71</v>
      </c>
      <c r="J246" t="s">
        <v>20</v>
      </c>
      <c r="K246">
        <v>0.14000000000000001</v>
      </c>
      <c r="L246" t="s">
        <v>21</v>
      </c>
      <c r="M246" t="s">
        <v>29</v>
      </c>
      <c r="N246" t="s">
        <v>80</v>
      </c>
    </row>
    <row r="247" spans="1:14" x14ac:dyDescent="0.3">
      <c r="A247">
        <v>1024</v>
      </c>
      <c r="B247" s="13">
        <v>45043</v>
      </c>
      <c r="C247" t="s">
        <v>26</v>
      </c>
      <c r="D247" t="s">
        <v>19</v>
      </c>
      <c r="E247">
        <v>7734.12</v>
      </c>
      <c r="F247">
        <v>42</v>
      </c>
      <c r="G247" t="s">
        <v>22</v>
      </c>
      <c r="H247">
        <v>2069.0500000000002</v>
      </c>
      <c r="I247">
        <v>2363.9</v>
      </c>
      <c r="J247" t="s">
        <v>20</v>
      </c>
      <c r="K247">
        <v>7.0000000000000007E-2</v>
      </c>
      <c r="L247" t="s">
        <v>16</v>
      </c>
      <c r="M247" t="s">
        <v>29</v>
      </c>
      <c r="N247" t="s">
        <v>76</v>
      </c>
    </row>
    <row r="248" spans="1:14" x14ac:dyDescent="0.3">
      <c r="A248">
        <v>1069</v>
      </c>
      <c r="B248" s="13">
        <v>45080</v>
      </c>
      <c r="C248" t="s">
        <v>18</v>
      </c>
      <c r="D248" t="s">
        <v>19</v>
      </c>
      <c r="E248">
        <v>6581.04</v>
      </c>
      <c r="F248">
        <v>42</v>
      </c>
      <c r="G248" t="s">
        <v>14</v>
      </c>
      <c r="H248">
        <v>1434.2</v>
      </c>
      <c r="I248">
        <v>1482.88</v>
      </c>
      <c r="J248" t="s">
        <v>15</v>
      </c>
      <c r="K248">
        <v>0.28000000000000003</v>
      </c>
      <c r="L248" t="s">
        <v>21</v>
      </c>
      <c r="M248" t="s">
        <v>17</v>
      </c>
      <c r="N248" t="s">
        <v>56</v>
      </c>
    </row>
    <row r="249" spans="1:14" x14ac:dyDescent="0.3">
      <c r="A249">
        <v>1098</v>
      </c>
      <c r="B249" s="13">
        <v>45217</v>
      </c>
      <c r="C249" t="s">
        <v>12</v>
      </c>
      <c r="D249" t="s">
        <v>19</v>
      </c>
      <c r="E249">
        <v>1600.79</v>
      </c>
      <c r="F249">
        <v>21</v>
      </c>
      <c r="G249" t="s">
        <v>24</v>
      </c>
      <c r="H249">
        <v>725.03</v>
      </c>
      <c r="I249" s="14" t="s">
        <v>253</v>
      </c>
      <c r="J249" t="s">
        <v>15</v>
      </c>
      <c r="K249">
        <v>0.18</v>
      </c>
      <c r="L249" t="s">
        <v>25</v>
      </c>
      <c r="M249" t="s">
        <v>29</v>
      </c>
      <c r="N249" t="s">
        <v>74</v>
      </c>
    </row>
    <row r="250" spans="1:14" x14ac:dyDescent="0.3">
      <c r="A250">
        <v>1070</v>
      </c>
      <c r="B250" s="13">
        <v>44989</v>
      </c>
      <c r="C250" t="s">
        <v>23</v>
      </c>
      <c r="D250" t="s">
        <v>27</v>
      </c>
      <c r="E250">
        <v>8771.24</v>
      </c>
      <c r="F250">
        <v>15</v>
      </c>
      <c r="G250" t="s">
        <v>28</v>
      </c>
      <c r="H250">
        <v>3653.66</v>
      </c>
      <c r="I250">
        <v>3896.19</v>
      </c>
      <c r="J250" t="s">
        <v>15</v>
      </c>
      <c r="K250">
        <v>0.03</v>
      </c>
      <c r="L250" t="s">
        <v>21</v>
      </c>
      <c r="M250" t="s">
        <v>17</v>
      </c>
      <c r="N250" t="s">
        <v>96</v>
      </c>
    </row>
    <row r="251" spans="1:14" x14ac:dyDescent="0.3">
      <c r="A251">
        <v>1086</v>
      </c>
      <c r="B251" s="13">
        <v>45170</v>
      </c>
      <c r="C251" t="s">
        <v>31</v>
      </c>
      <c r="D251" t="s">
        <v>19</v>
      </c>
      <c r="E251">
        <v>5437.04</v>
      </c>
      <c r="F251">
        <v>17</v>
      </c>
      <c r="G251" t="s">
        <v>28</v>
      </c>
      <c r="H251">
        <v>4075.08</v>
      </c>
      <c r="I251">
        <v>4262.21</v>
      </c>
      <c r="J251" t="s">
        <v>15</v>
      </c>
      <c r="K251">
        <v>0.17</v>
      </c>
      <c r="L251" t="s">
        <v>16</v>
      </c>
      <c r="M251" t="s">
        <v>29</v>
      </c>
      <c r="N251" t="s">
        <v>88</v>
      </c>
    </row>
    <row r="252" spans="1:14" x14ac:dyDescent="0.3">
      <c r="A252">
        <v>1011</v>
      </c>
      <c r="B252" s="13">
        <v>44951</v>
      </c>
      <c r="C252" t="s">
        <v>12</v>
      </c>
      <c r="D252" t="s">
        <v>30</v>
      </c>
      <c r="E252">
        <v>2896.48</v>
      </c>
      <c r="F252">
        <v>22</v>
      </c>
      <c r="G252" t="s">
        <v>28</v>
      </c>
      <c r="H252">
        <v>1324.52</v>
      </c>
      <c r="I252">
        <v>1510.3</v>
      </c>
      <c r="J252" t="s">
        <v>20</v>
      </c>
      <c r="K252">
        <v>0.15</v>
      </c>
      <c r="L252" t="s">
        <v>16</v>
      </c>
      <c r="M252" t="s">
        <v>17</v>
      </c>
      <c r="N252" t="s">
        <v>72</v>
      </c>
    </row>
    <row r="253" spans="1:14" x14ac:dyDescent="0.3">
      <c r="A253">
        <v>1016</v>
      </c>
      <c r="B253" s="13">
        <v>45016</v>
      </c>
      <c r="C253" t="s">
        <v>12</v>
      </c>
      <c r="D253" t="s">
        <v>13</v>
      </c>
      <c r="E253">
        <v>4309.76</v>
      </c>
      <c r="F253">
        <v>38</v>
      </c>
      <c r="G253" t="s">
        <v>28</v>
      </c>
      <c r="H253">
        <v>3883.38</v>
      </c>
      <c r="I253">
        <v>4152.72</v>
      </c>
      <c r="J253" t="s">
        <v>20</v>
      </c>
      <c r="K253">
        <v>0.26</v>
      </c>
      <c r="L253" t="s">
        <v>16</v>
      </c>
      <c r="M253" t="s">
        <v>29</v>
      </c>
      <c r="N253" t="s">
        <v>83</v>
      </c>
    </row>
    <row r="254" spans="1:14" x14ac:dyDescent="0.3">
      <c r="A254">
        <v>1097</v>
      </c>
      <c r="B254" s="13">
        <v>45001</v>
      </c>
      <c r="C254" t="s">
        <v>18</v>
      </c>
      <c r="D254" t="s">
        <v>27</v>
      </c>
      <c r="E254">
        <v>471.95</v>
      </c>
      <c r="F254">
        <v>35</v>
      </c>
      <c r="G254" t="s">
        <v>22</v>
      </c>
      <c r="H254">
        <v>1958.49</v>
      </c>
      <c r="I254">
        <v>2254.84</v>
      </c>
      <c r="J254" t="s">
        <v>15</v>
      </c>
      <c r="K254">
        <v>0.16</v>
      </c>
      <c r="L254" t="s">
        <v>21</v>
      </c>
      <c r="M254" t="s">
        <v>29</v>
      </c>
      <c r="N254" t="s">
        <v>58</v>
      </c>
    </row>
    <row r="255" spans="1:14" x14ac:dyDescent="0.3">
      <c r="A255">
        <v>1073</v>
      </c>
      <c r="B255" s="13">
        <v>45220</v>
      </c>
      <c r="C255" t="s">
        <v>26</v>
      </c>
      <c r="D255" t="s">
        <v>19</v>
      </c>
      <c r="E255">
        <v>1365.88</v>
      </c>
      <c r="F255">
        <v>45</v>
      </c>
      <c r="G255" t="s">
        <v>24</v>
      </c>
      <c r="H255">
        <v>2558.09</v>
      </c>
      <c r="I255">
        <v>2958.55</v>
      </c>
      <c r="J255" t="s">
        <v>15</v>
      </c>
      <c r="K255">
        <v>0.08</v>
      </c>
      <c r="L255" t="s">
        <v>16</v>
      </c>
      <c r="M255" t="s">
        <v>29</v>
      </c>
      <c r="N255" t="s">
        <v>76</v>
      </c>
    </row>
    <row r="256" spans="1:14" x14ac:dyDescent="0.3">
      <c r="A256">
        <v>1059</v>
      </c>
      <c r="B256" s="13">
        <v>45136</v>
      </c>
      <c r="C256" t="s">
        <v>23</v>
      </c>
      <c r="D256" t="s">
        <v>27</v>
      </c>
      <c r="E256">
        <v>7678.91</v>
      </c>
      <c r="F256">
        <v>16</v>
      </c>
      <c r="G256" t="s">
        <v>24</v>
      </c>
      <c r="H256">
        <v>4287.21</v>
      </c>
      <c r="I256">
        <v>4464.28</v>
      </c>
      <c r="J256" t="s">
        <v>20</v>
      </c>
      <c r="K256">
        <v>0.2</v>
      </c>
      <c r="L256" t="s">
        <v>21</v>
      </c>
      <c r="M256" t="s">
        <v>17</v>
      </c>
      <c r="N256" t="s">
        <v>96</v>
      </c>
    </row>
    <row r="257" spans="1:14" x14ac:dyDescent="0.3">
      <c r="A257">
        <v>1070</v>
      </c>
      <c r="B257" s="13">
        <v>45273</v>
      </c>
      <c r="C257" t="s">
        <v>26</v>
      </c>
      <c r="D257" t="s">
        <v>19</v>
      </c>
      <c r="E257">
        <v>100.12</v>
      </c>
      <c r="F257">
        <v>8</v>
      </c>
      <c r="G257" t="s">
        <v>14</v>
      </c>
      <c r="H257">
        <v>3762.27</v>
      </c>
      <c r="I257">
        <v>4166.95</v>
      </c>
      <c r="J257" t="s">
        <v>20</v>
      </c>
      <c r="K257">
        <v>0.16</v>
      </c>
      <c r="L257" t="s">
        <v>25</v>
      </c>
      <c r="M257" t="s">
        <v>29</v>
      </c>
      <c r="N257" t="s">
        <v>76</v>
      </c>
    </row>
    <row r="258" spans="1:14" x14ac:dyDescent="0.3">
      <c r="A258">
        <v>1080</v>
      </c>
      <c r="B258" s="13">
        <v>44943</v>
      </c>
      <c r="C258" t="s">
        <v>23</v>
      </c>
      <c r="D258" t="s">
        <v>27</v>
      </c>
      <c r="E258">
        <v>4224</v>
      </c>
      <c r="F258">
        <v>47</v>
      </c>
      <c r="G258" t="s">
        <v>24</v>
      </c>
      <c r="H258">
        <v>4035.33</v>
      </c>
      <c r="I258">
        <v>4211.25</v>
      </c>
      <c r="J258" t="s">
        <v>20</v>
      </c>
      <c r="K258">
        <v>7.0000000000000007E-2</v>
      </c>
      <c r="L258" t="s">
        <v>25</v>
      </c>
      <c r="M258" t="s">
        <v>29</v>
      </c>
      <c r="N258" t="s">
        <v>96</v>
      </c>
    </row>
    <row r="259" spans="1:14" x14ac:dyDescent="0.3">
      <c r="A259">
        <v>1093</v>
      </c>
      <c r="B259" s="13">
        <v>45054</v>
      </c>
      <c r="C259" t="s">
        <v>23</v>
      </c>
      <c r="D259" t="s">
        <v>13</v>
      </c>
      <c r="E259">
        <v>5272.85</v>
      </c>
      <c r="F259">
        <v>17</v>
      </c>
      <c r="G259" t="s">
        <v>24</v>
      </c>
      <c r="H259">
        <v>727.38</v>
      </c>
      <c r="I259">
        <v>764.54</v>
      </c>
      <c r="J259" t="s">
        <v>20</v>
      </c>
      <c r="K259">
        <v>0.17</v>
      </c>
      <c r="L259" t="s">
        <v>21</v>
      </c>
      <c r="M259" t="s">
        <v>17</v>
      </c>
      <c r="N259" t="s">
        <v>69</v>
      </c>
    </row>
    <row r="260" spans="1:14" x14ac:dyDescent="0.3">
      <c r="A260">
        <v>1003</v>
      </c>
      <c r="B260" s="13">
        <v>45290</v>
      </c>
      <c r="C260" t="s">
        <v>26</v>
      </c>
      <c r="D260" t="s">
        <v>13</v>
      </c>
      <c r="E260">
        <v>640.88</v>
      </c>
      <c r="F260">
        <v>17</v>
      </c>
      <c r="G260" t="s">
        <v>24</v>
      </c>
      <c r="H260">
        <v>395.11</v>
      </c>
      <c r="I260" s="14" t="s">
        <v>252</v>
      </c>
      <c r="J260" t="s">
        <v>20</v>
      </c>
      <c r="K260">
        <v>0.25</v>
      </c>
      <c r="L260" t="s">
        <v>16</v>
      </c>
      <c r="M260" t="s">
        <v>17</v>
      </c>
      <c r="N260" t="s">
        <v>55</v>
      </c>
    </row>
    <row r="261" spans="1:14" x14ac:dyDescent="0.3">
      <c r="A261">
        <v>1020</v>
      </c>
      <c r="B261" s="13">
        <v>45177</v>
      </c>
      <c r="C261" t="s">
        <v>12</v>
      </c>
      <c r="D261" t="s">
        <v>30</v>
      </c>
      <c r="E261">
        <v>9733.4699999999993</v>
      </c>
      <c r="F261">
        <v>26</v>
      </c>
      <c r="G261" t="s">
        <v>14</v>
      </c>
      <c r="H261">
        <v>4472.3500000000004</v>
      </c>
      <c r="I261">
        <v>4770.42</v>
      </c>
      <c r="J261" t="s">
        <v>15</v>
      </c>
      <c r="K261">
        <v>0.01</v>
      </c>
      <c r="L261" t="s">
        <v>21</v>
      </c>
      <c r="M261" t="s">
        <v>17</v>
      </c>
      <c r="N261" t="s">
        <v>72</v>
      </c>
    </row>
    <row r="262" spans="1:14" x14ac:dyDescent="0.3">
      <c r="A262">
        <v>1059</v>
      </c>
      <c r="B262" s="13">
        <v>45105</v>
      </c>
      <c r="C262" t="s">
        <v>23</v>
      </c>
      <c r="D262" t="s">
        <v>30</v>
      </c>
      <c r="E262">
        <v>2338.64</v>
      </c>
      <c r="F262">
        <v>13</v>
      </c>
      <c r="G262" t="s">
        <v>28</v>
      </c>
      <c r="H262">
        <v>1969.78</v>
      </c>
      <c r="I262">
        <v>2437.6999999999998</v>
      </c>
      <c r="J262" t="s">
        <v>15</v>
      </c>
      <c r="K262">
        <v>0.19</v>
      </c>
      <c r="L262" t="s">
        <v>21</v>
      </c>
      <c r="M262" t="s">
        <v>17</v>
      </c>
      <c r="N262" t="s">
        <v>60</v>
      </c>
    </row>
    <row r="263" spans="1:14" x14ac:dyDescent="0.3">
      <c r="A263">
        <v>1036</v>
      </c>
      <c r="B263" s="13">
        <v>45108</v>
      </c>
      <c r="C263" t="s">
        <v>26</v>
      </c>
      <c r="D263" t="s">
        <v>19</v>
      </c>
      <c r="E263">
        <v>3111.57</v>
      </c>
      <c r="F263">
        <v>17</v>
      </c>
      <c r="G263" t="s">
        <v>24</v>
      </c>
      <c r="H263">
        <v>1475</v>
      </c>
      <c r="I263">
        <v>1840.77</v>
      </c>
      <c r="J263" t="s">
        <v>20</v>
      </c>
      <c r="K263">
        <v>0.1</v>
      </c>
      <c r="L263" t="s">
        <v>21</v>
      </c>
      <c r="M263" t="s">
        <v>29</v>
      </c>
      <c r="N263" t="s">
        <v>76</v>
      </c>
    </row>
    <row r="264" spans="1:14" x14ac:dyDescent="0.3">
      <c r="A264">
        <v>1019</v>
      </c>
      <c r="B264" s="13">
        <v>45078</v>
      </c>
      <c r="C264" t="s">
        <v>23</v>
      </c>
      <c r="D264" t="s">
        <v>13</v>
      </c>
      <c r="E264">
        <v>3109.03</v>
      </c>
      <c r="F264">
        <v>38</v>
      </c>
      <c r="G264" t="s">
        <v>14</v>
      </c>
      <c r="H264">
        <v>3637.25</v>
      </c>
      <c r="I264">
        <v>4096.96</v>
      </c>
      <c r="J264" t="s">
        <v>20</v>
      </c>
      <c r="K264">
        <v>0.09</v>
      </c>
      <c r="L264" t="s">
        <v>25</v>
      </c>
      <c r="M264" t="s">
        <v>29</v>
      </c>
      <c r="N264" t="s">
        <v>69</v>
      </c>
    </row>
    <row r="265" spans="1:14" x14ac:dyDescent="0.3">
      <c r="A265">
        <v>1090</v>
      </c>
      <c r="B265" s="13">
        <v>44951</v>
      </c>
      <c r="C265" t="s">
        <v>31</v>
      </c>
      <c r="D265" t="s">
        <v>27</v>
      </c>
      <c r="E265">
        <v>2381.12</v>
      </c>
      <c r="F265">
        <v>17</v>
      </c>
      <c r="G265" t="s">
        <v>14</v>
      </c>
      <c r="H265">
        <v>4190.26</v>
      </c>
      <c r="I265">
        <v>4645.3500000000004</v>
      </c>
      <c r="J265" t="s">
        <v>15</v>
      </c>
      <c r="K265">
        <v>0.12</v>
      </c>
      <c r="L265" t="s">
        <v>21</v>
      </c>
      <c r="M265" t="s">
        <v>17</v>
      </c>
      <c r="N265" t="s">
        <v>86</v>
      </c>
    </row>
    <row r="266" spans="1:14" x14ac:dyDescent="0.3">
      <c r="A266">
        <v>1067</v>
      </c>
      <c r="B266" s="13">
        <v>45106</v>
      </c>
      <c r="C266" t="s">
        <v>12</v>
      </c>
      <c r="D266" t="s">
        <v>27</v>
      </c>
      <c r="E266">
        <v>114.59</v>
      </c>
      <c r="F266">
        <v>48</v>
      </c>
      <c r="G266" t="s">
        <v>22</v>
      </c>
      <c r="H266">
        <v>4319.32</v>
      </c>
      <c r="I266" s="14" t="s">
        <v>251</v>
      </c>
      <c r="J266" t="s">
        <v>20</v>
      </c>
      <c r="K266">
        <v>0.1</v>
      </c>
      <c r="L266" t="s">
        <v>25</v>
      </c>
      <c r="M266" t="s">
        <v>29</v>
      </c>
      <c r="N266" t="s">
        <v>100</v>
      </c>
    </row>
    <row r="267" spans="1:14" x14ac:dyDescent="0.3">
      <c r="A267">
        <v>1019</v>
      </c>
      <c r="B267" s="13">
        <v>45124</v>
      </c>
      <c r="C267" t="s">
        <v>18</v>
      </c>
      <c r="D267" t="s">
        <v>27</v>
      </c>
      <c r="E267">
        <v>7320.51</v>
      </c>
      <c r="F267">
        <v>14</v>
      </c>
      <c r="G267" t="s">
        <v>14</v>
      </c>
      <c r="H267">
        <v>1614.19</v>
      </c>
      <c r="I267">
        <v>1882.79</v>
      </c>
      <c r="J267" t="s">
        <v>15</v>
      </c>
      <c r="K267">
        <v>0.25</v>
      </c>
      <c r="L267" t="s">
        <v>21</v>
      </c>
      <c r="M267" t="s">
        <v>17</v>
      </c>
      <c r="N267" t="s">
        <v>58</v>
      </c>
    </row>
    <row r="268" spans="1:14" x14ac:dyDescent="0.3">
      <c r="A268">
        <v>1020</v>
      </c>
      <c r="B268" s="13">
        <v>45270</v>
      </c>
      <c r="C268" t="s">
        <v>23</v>
      </c>
      <c r="D268" t="s">
        <v>30</v>
      </c>
      <c r="E268">
        <v>9671.77</v>
      </c>
      <c r="F268">
        <v>45</v>
      </c>
      <c r="G268" t="s">
        <v>28</v>
      </c>
      <c r="H268">
        <v>4268.45</v>
      </c>
      <c r="I268" s="14" t="s">
        <v>250</v>
      </c>
      <c r="J268" t="s">
        <v>15</v>
      </c>
      <c r="K268">
        <v>0.08</v>
      </c>
      <c r="L268" t="s">
        <v>25</v>
      </c>
      <c r="M268" t="s">
        <v>29</v>
      </c>
      <c r="N268" t="s">
        <v>60</v>
      </c>
    </row>
    <row r="269" spans="1:14" x14ac:dyDescent="0.3">
      <c r="A269">
        <v>1096</v>
      </c>
      <c r="B269" s="13">
        <v>45087</v>
      </c>
      <c r="C269" t="s">
        <v>31</v>
      </c>
      <c r="D269" t="s">
        <v>27</v>
      </c>
      <c r="E269">
        <v>2320.5100000000002</v>
      </c>
      <c r="F269">
        <v>6</v>
      </c>
      <c r="G269" t="s">
        <v>24</v>
      </c>
      <c r="H269">
        <v>252.62</v>
      </c>
      <c r="I269">
        <v>742</v>
      </c>
      <c r="J269" t="s">
        <v>15</v>
      </c>
      <c r="K269">
        <v>0.22</v>
      </c>
      <c r="L269" t="s">
        <v>21</v>
      </c>
      <c r="M269" t="s">
        <v>17</v>
      </c>
      <c r="N269" t="s">
        <v>86</v>
      </c>
    </row>
    <row r="270" spans="1:14" x14ac:dyDescent="0.3">
      <c r="A270">
        <v>1071</v>
      </c>
      <c r="B270" s="13">
        <v>45103</v>
      </c>
      <c r="C270" t="s">
        <v>18</v>
      </c>
      <c r="D270" t="s">
        <v>30</v>
      </c>
      <c r="E270">
        <v>6664.17</v>
      </c>
      <c r="F270">
        <v>35</v>
      </c>
      <c r="G270" t="s">
        <v>14</v>
      </c>
      <c r="H270">
        <v>295.82</v>
      </c>
      <c r="I270" s="14" t="s">
        <v>249</v>
      </c>
      <c r="J270" t="s">
        <v>15</v>
      </c>
      <c r="K270">
        <v>0.03</v>
      </c>
      <c r="L270" t="s">
        <v>21</v>
      </c>
      <c r="M270" t="s">
        <v>29</v>
      </c>
      <c r="N270" t="s">
        <v>64</v>
      </c>
    </row>
    <row r="271" spans="1:14" x14ac:dyDescent="0.3">
      <c r="A271">
        <v>1052</v>
      </c>
      <c r="B271" s="13">
        <v>45211</v>
      </c>
      <c r="C271" t="s">
        <v>18</v>
      </c>
      <c r="D271" t="s">
        <v>30</v>
      </c>
      <c r="E271">
        <v>7444.77</v>
      </c>
      <c r="F271">
        <v>46</v>
      </c>
      <c r="G271" t="s">
        <v>28</v>
      </c>
      <c r="H271">
        <v>3136.42</v>
      </c>
      <c r="I271" s="14" t="s">
        <v>248</v>
      </c>
      <c r="J271" t="s">
        <v>20</v>
      </c>
      <c r="K271">
        <v>0.28999999999999998</v>
      </c>
      <c r="L271" t="s">
        <v>16</v>
      </c>
      <c r="M271" t="s">
        <v>17</v>
      </c>
      <c r="N271" t="s">
        <v>64</v>
      </c>
    </row>
    <row r="272" spans="1:14" x14ac:dyDescent="0.3">
      <c r="A272">
        <v>1033</v>
      </c>
      <c r="B272" s="13">
        <v>44989</v>
      </c>
      <c r="C272" t="s">
        <v>23</v>
      </c>
      <c r="D272" t="s">
        <v>19</v>
      </c>
      <c r="E272">
        <v>8499.41</v>
      </c>
      <c r="F272">
        <v>14</v>
      </c>
      <c r="G272" t="s">
        <v>14</v>
      </c>
      <c r="H272">
        <v>362.38</v>
      </c>
      <c r="I272">
        <v>753.81</v>
      </c>
      <c r="J272" t="s">
        <v>20</v>
      </c>
      <c r="K272">
        <v>0.19</v>
      </c>
      <c r="L272" t="s">
        <v>16</v>
      </c>
      <c r="M272" t="s">
        <v>17</v>
      </c>
      <c r="N272" t="s">
        <v>81</v>
      </c>
    </row>
    <row r="273" spans="1:14" x14ac:dyDescent="0.3">
      <c r="A273">
        <v>1040</v>
      </c>
      <c r="B273" s="13">
        <v>45076</v>
      </c>
      <c r="C273" t="s">
        <v>26</v>
      </c>
      <c r="D273" t="s">
        <v>27</v>
      </c>
      <c r="E273">
        <v>4284.03</v>
      </c>
      <c r="F273">
        <v>47</v>
      </c>
      <c r="G273" t="s">
        <v>14</v>
      </c>
      <c r="H273">
        <v>1656.82</v>
      </c>
      <c r="I273" s="14" t="s">
        <v>247</v>
      </c>
      <c r="J273" t="s">
        <v>15</v>
      </c>
      <c r="K273">
        <v>0.21</v>
      </c>
      <c r="L273" t="s">
        <v>21</v>
      </c>
      <c r="M273" t="s">
        <v>29</v>
      </c>
      <c r="N273" t="s">
        <v>63</v>
      </c>
    </row>
    <row r="274" spans="1:14" x14ac:dyDescent="0.3">
      <c r="A274">
        <v>1039</v>
      </c>
      <c r="B274" s="13">
        <v>45080</v>
      </c>
      <c r="C274" t="s">
        <v>23</v>
      </c>
      <c r="D274" t="s">
        <v>27</v>
      </c>
      <c r="E274">
        <v>3099.02</v>
      </c>
      <c r="F274">
        <v>8</v>
      </c>
      <c r="G274" t="s">
        <v>14</v>
      </c>
      <c r="H274">
        <v>3380.14</v>
      </c>
      <c r="I274" s="14" t="s">
        <v>246</v>
      </c>
      <c r="J274" t="s">
        <v>20</v>
      </c>
      <c r="K274">
        <v>0.09</v>
      </c>
      <c r="L274" t="s">
        <v>21</v>
      </c>
      <c r="M274" t="s">
        <v>29</v>
      </c>
      <c r="N274" t="s">
        <v>96</v>
      </c>
    </row>
    <row r="275" spans="1:14" x14ac:dyDescent="0.3">
      <c r="A275">
        <v>1082</v>
      </c>
      <c r="B275" s="13">
        <v>45082</v>
      </c>
      <c r="C275" t="s">
        <v>31</v>
      </c>
      <c r="D275" t="s">
        <v>13</v>
      </c>
      <c r="E275">
        <v>3320.42</v>
      </c>
      <c r="F275">
        <v>15</v>
      </c>
      <c r="G275" t="s">
        <v>14</v>
      </c>
      <c r="H275">
        <v>1719.47</v>
      </c>
      <c r="I275">
        <v>1832.6</v>
      </c>
      <c r="J275" t="s">
        <v>20</v>
      </c>
      <c r="K275">
        <v>0.12</v>
      </c>
      <c r="L275" t="s">
        <v>21</v>
      </c>
      <c r="M275" t="s">
        <v>29</v>
      </c>
      <c r="N275" t="s">
        <v>67</v>
      </c>
    </row>
    <row r="276" spans="1:14" x14ac:dyDescent="0.3">
      <c r="A276">
        <v>1001</v>
      </c>
      <c r="B276" s="13">
        <v>44975</v>
      </c>
      <c r="C276" t="s">
        <v>18</v>
      </c>
      <c r="D276" t="s">
        <v>19</v>
      </c>
      <c r="E276">
        <v>7154.95</v>
      </c>
      <c r="F276">
        <v>27</v>
      </c>
      <c r="G276" t="s">
        <v>14</v>
      </c>
      <c r="H276">
        <v>939.02</v>
      </c>
      <c r="I276">
        <v>1286.92</v>
      </c>
      <c r="J276" t="s">
        <v>20</v>
      </c>
      <c r="K276">
        <v>7.0000000000000007E-2</v>
      </c>
      <c r="L276" t="s">
        <v>21</v>
      </c>
      <c r="M276" t="s">
        <v>17</v>
      </c>
      <c r="N276" t="s">
        <v>56</v>
      </c>
    </row>
    <row r="277" spans="1:14" x14ac:dyDescent="0.3">
      <c r="A277">
        <v>1011</v>
      </c>
      <c r="B277" s="13">
        <v>45263</v>
      </c>
      <c r="C277" t="s">
        <v>23</v>
      </c>
      <c r="D277" t="s">
        <v>13</v>
      </c>
      <c r="E277">
        <v>8186.12</v>
      </c>
      <c r="F277">
        <v>13</v>
      </c>
      <c r="G277" t="s">
        <v>28</v>
      </c>
      <c r="H277">
        <v>1442.69</v>
      </c>
      <c r="I277" s="14" t="s">
        <v>245</v>
      </c>
      <c r="J277" t="s">
        <v>20</v>
      </c>
      <c r="K277">
        <v>0.28000000000000003</v>
      </c>
      <c r="L277" t="s">
        <v>16</v>
      </c>
      <c r="M277" t="s">
        <v>29</v>
      </c>
      <c r="N277" t="s">
        <v>69</v>
      </c>
    </row>
    <row r="278" spans="1:14" x14ac:dyDescent="0.3">
      <c r="A278">
        <v>1092</v>
      </c>
      <c r="B278" s="13">
        <v>45010</v>
      </c>
      <c r="C278" t="s">
        <v>26</v>
      </c>
      <c r="D278" t="s">
        <v>19</v>
      </c>
      <c r="E278">
        <v>1897.98</v>
      </c>
      <c r="F278">
        <v>49</v>
      </c>
      <c r="G278" t="s">
        <v>24</v>
      </c>
      <c r="H278">
        <v>2315</v>
      </c>
      <c r="I278">
        <v>2467.2800000000002</v>
      </c>
      <c r="J278" t="s">
        <v>15</v>
      </c>
      <c r="K278">
        <v>0.15</v>
      </c>
      <c r="L278" t="s">
        <v>25</v>
      </c>
      <c r="M278" t="s">
        <v>17</v>
      </c>
      <c r="N278" t="s">
        <v>76</v>
      </c>
    </row>
    <row r="279" spans="1:14" x14ac:dyDescent="0.3">
      <c r="A279">
        <v>1057</v>
      </c>
      <c r="B279" s="13">
        <v>45287</v>
      </c>
      <c r="C279" t="s">
        <v>23</v>
      </c>
      <c r="D279" t="s">
        <v>27</v>
      </c>
      <c r="E279">
        <v>3772.32</v>
      </c>
      <c r="F279">
        <v>31</v>
      </c>
      <c r="G279" t="s">
        <v>24</v>
      </c>
      <c r="H279">
        <v>2403.16</v>
      </c>
      <c r="I279">
        <v>2453.35</v>
      </c>
      <c r="J279" t="s">
        <v>20</v>
      </c>
      <c r="K279">
        <v>0.19</v>
      </c>
      <c r="L279" t="s">
        <v>21</v>
      </c>
      <c r="M279" t="s">
        <v>29</v>
      </c>
      <c r="N279" t="s">
        <v>96</v>
      </c>
    </row>
    <row r="280" spans="1:14" x14ac:dyDescent="0.3">
      <c r="A280">
        <v>1089</v>
      </c>
      <c r="B280" s="13">
        <v>45103</v>
      </c>
      <c r="C280" t="s">
        <v>12</v>
      </c>
      <c r="D280" t="s">
        <v>30</v>
      </c>
      <c r="E280">
        <v>9029.2099999999991</v>
      </c>
      <c r="F280">
        <v>35</v>
      </c>
      <c r="G280" t="s">
        <v>24</v>
      </c>
      <c r="H280">
        <v>3925.85</v>
      </c>
      <c r="I280" s="14" t="s">
        <v>244</v>
      </c>
      <c r="J280" t="s">
        <v>15</v>
      </c>
      <c r="K280">
        <v>0.22</v>
      </c>
      <c r="L280" t="s">
        <v>16</v>
      </c>
      <c r="M280" t="s">
        <v>29</v>
      </c>
      <c r="N280" t="s">
        <v>72</v>
      </c>
    </row>
    <row r="281" spans="1:14" x14ac:dyDescent="0.3">
      <c r="A281">
        <v>1050</v>
      </c>
      <c r="B281" s="13">
        <v>45074</v>
      </c>
      <c r="C281" t="s">
        <v>26</v>
      </c>
      <c r="D281" t="s">
        <v>30</v>
      </c>
      <c r="E281">
        <v>8086.27</v>
      </c>
      <c r="F281">
        <v>6</v>
      </c>
      <c r="G281" t="s">
        <v>24</v>
      </c>
      <c r="H281">
        <v>3763.26</v>
      </c>
      <c r="I281">
        <v>4102.72</v>
      </c>
      <c r="J281" t="s">
        <v>15</v>
      </c>
      <c r="K281">
        <v>0.11</v>
      </c>
      <c r="L281" t="s">
        <v>21</v>
      </c>
      <c r="M281" t="s">
        <v>17</v>
      </c>
      <c r="N281" t="s">
        <v>71</v>
      </c>
    </row>
    <row r="282" spans="1:14" x14ac:dyDescent="0.3">
      <c r="A282">
        <v>1023</v>
      </c>
      <c r="B282" s="13">
        <v>45044</v>
      </c>
      <c r="C282" t="s">
        <v>31</v>
      </c>
      <c r="D282" t="s">
        <v>30</v>
      </c>
      <c r="E282">
        <v>9850.1</v>
      </c>
      <c r="F282">
        <v>5</v>
      </c>
      <c r="G282" t="s">
        <v>28</v>
      </c>
      <c r="H282">
        <v>2311.25</v>
      </c>
      <c r="I282">
        <v>2482.34</v>
      </c>
      <c r="J282" t="s">
        <v>20</v>
      </c>
      <c r="K282">
        <v>0.22</v>
      </c>
      <c r="L282" t="s">
        <v>21</v>
      </c>
      <c r="M282" t="s">
        <v>17</v>
      </c>
      <c r="N282" t="s">
        <v>62</v>
      </c>
    </row>
    <row r="283" spans="1:14" x14ac:dyDescent="0.3">
      <c r="A283">
        <v>1031</v>
      </c>
      <c r="B283" s="13">
        <v>45268</v>
      </c>
      <c r="C283" t="s">
        <v>18</v>
      </c>
      <c r="D283" t="s">
        <v>30</v>
      </c>
      <c r="E283">
        <v>7567.06</v>
      </c>
      <c r="F283">
        <v>22</v>
      </c>
      <c r="G283" t="s">
        <v>22</v>
      </c>
      <c r="H283">
        <v>4236.05</v>
      </c>
      <c r="I283" s="14" t="s">
        <v>243</v>
      </c>
      <c r="J283" t="s">
        <v>15</v>
      </c>
      <c r="K283">
        <v>0.2</v>
      </c>
      <c r="L283" t="s">
        <v>25</v>
      </c>
      <c r="M283" t="s">
        <v>29</v>
      </c>
      <c r="N283" t="s">
        <v>64</v>
      </c>
    </row>
    <row r="284" spans="1:14" x14ac:dyDescent="0.3">
      <c r="A284">
        <v>1094</v>
      </c>
      <c r="B284" s="13">
        <v>44989</v>
      </c>
      <c r="C284" t="s">
        <v>23</v>
      </c>
      <c r="D284" t="s">
        <v>30</v>
      </c>
      <c r="E284">
        <v>3992.63</v>
      </c>
      <c r="F284">
        <v>49</v>
      </c>
      <c r="G284" t="s">
        <v>22</v>
      </c>
      <c r="H284">
        <v>615.47</v>
      </c>
      <c r="I284">
        <v>715.84</v>
      </c>
      <c r="J284" t="s">
        <v>20</v>
      </c>
      <c r="K284">
        <v>0.21</v>
      </c>
      <c r="L284" t="s">
        <v>21</v>
      </c>
      <c r="M284" t="s">
        <v>17</v>
      </c>
      <c r="N284" t="s">
        <v>60</v>
      </c>
    </row>
    <row r="285" spans="1:14" x14ac:dyDescent="0.3">
      <c r="A285">
        <v>1042</v>
      </c>
      <c r="B285" s="13">
        <v>45115</v>
      </c>
      <c r="C285" t="s">
        <v>26</v>
      </c>
      <c r="D285" t="s">
        <v>13</v>
      </c>
      <c r="E285">
        <v>5947.31</v>
      </c>
      <c r="F285">
        <v>23</v>
      </c>
      <c r="G285" t="s">
        <v>28</v>
      </c>
      <c r="H285">
        <v>1314</v>
      </c>
      <c r="I285">
        <v>1567.78</v>
      </c>
      <c r="J285" t="s">
        <v>20</v>
      </c>
      <c r="K285">
        <v>0.15</v>
      </c>
      <c r="L285" t="s">
        <v>21</v>
      </c>
      <c r="M285" t="s">
        <v>17</v>
      </c>
      <c r="N285" t="s">
        <v>55</v>
      </c>
    </row>
    <row r="286" spans="1:14" x14ac:dyDescent="0.3">
      <c r="A286">
        <v>1099</v>
      </c>
      <c r="B286" s="13">
        <v>45286</v>
      </c>
      <c r="C286" t="s">
        <v>12</v>
      </c>
      <c r="D286" t="s">
        <v>19</v>
      </c>
      <c r="E286">
        <v>6644.04</v>
      </c>
      <c r="F286">
        <v>25</v>
      </c>
      <c r="G286" t="s">
        <v>28</v>
      </c>
      <c r="H286">
        <v>4148.4799999999996</v>
      </c>
      <c r="I286">
        <v>4293.6899999999996</v>
      </c>
      <c r="J286" t="s">
        <v>15</v>
      </c>
      <c r="K286">
        <v>0.11</v>
      </c>
      <c r="L286" t="s">
        <v>25</v>
      </c>
      <c r="M286" t="s">
        <v>29</v>
      </c>
      <c r="N286" t="s">
        <v>74</v>
      </c>
    </row>
    <row r="287" spans="1:14" x14ac:dyDescent="0.3">
      <c r="A287">
        <v>1007</v>
      </c>
      <c r="B287" s="13">
        <v>44975</v>
      </c>
      <c r="C287" t="s">
        <v>26</v>
      </c>
      <c r="D287" t="s">
        <v>27</v>
      </c>
      <c r="E287">
        <v>876.71</v>
      </c>
      <c r="F287">
        <v>34</v>
      </c>
      <c r="G287" t="s">
        <v>14</v>
      </c>
      <c r="H287">
        <v>1921.07</v>
      </c>
      <c r="I287">
        <v>2289.27</v>
      </c>
      <c r="J287" t="s">
        <v>20</v>
      </c>
      <c r="K287">
        <v>7.0000000000000007E-2</v>
      </c>
      <c r="L287" t="s">
        <v>25</v>
      </c>
      <c r="M287" t="s">
        <v>17</v>
      </c>
      <c r="N287" t="s">
        <v>63</v>
      </c>
    </row>
    <row r="288" spans="1:14" x14ac:dyDescent="0.3">
      <c r="A288">
        <v>1016</v>
      </c>
      <c r="B288" s="13">
        <v>45253</v>
      </c>
      <c r="C288" t="s">
        <v>12</v>
      </c>
      <c r="D288" t="s">
        <v>13</v>
      </c>
      <c r="E288">
        <v>5490.52</v>
      </c>
      <c r="F288">
        <v>26</v>
      </c>
      <c r="G288" t="s">
        <v>14</v>
      </c>
      <c r="H288">
        <v>4906.8500000000004</v>
      </c>
      <c r="I288">
        <v>4954.3900000000003</v>
      </c>
      <c r="J288" t="s">
        <v>15</v>
      </c>
      <c r="K288">
        <v>0.25</v>
      </c>
      <c r="L288" t="s">
        <v>25</v>
      </c>
      <c r="M288" t="s">
        <v>29</v>
      </c>
      <c r="N288" t="s">
        <v>83</v>
      </c>
    </row>
    <row r="289" spans="1:14" x14ac:dyDescent="0.3">
      <c r="A289">
        <v>1090</v>
      </c>
      <c r="B289" s="13">
        <v>45183</v>
      </c>
      <c r="C289" t="s">
        <v>31</v>
      </c>
      <c r="D289" t="s">
        <v>19</v>
      </c>
      <c r="E289">
        <v>7122.28</v>
      </c>
      <c r="F289">
        <v>47</v>
      </c>
      <c r="G289" t="s">
        <v>14</v>
      </c>
      <c r="H289">
        <v>2357.9499999999998</v>
      </c>
      <c r="I289">
        <v>2693.33</v>
      </c>
      <c r="J289" t="s">
        <v>15</v>
      </c>
      <c r="K289">
        <v>0.18</v>
      </c>
      <c r="L289" t="s">
        <v>25</v>
      </c>
      <c r="M289" t="s">
        <v>29</v>
      </c>
      <c r="N289" t="s">
        <v>88</v>
      </c>
    </row>
    <row r="290" spans="1:14" x14ac:dyDescent="0.3">
      <c r="A290">
        <v>1060</v>
      </c>
      <c r="B290" s="13">
        <v>45150</v>
      </c>
      <c r="C290" t="s">
        <v>18</v>
      </c>
      <c r="D290" t="s">
        <v>30</v>
      </c>
      <c r="E290">
        <v>1756.48</v>
      </c>
      <c r="F290">
        <v>5</v>
      </c>
      <c r="G290" t="s">
        <v>24</v>
      </c>
      <c r="H290">
        <v>3970.08</v>
      </c>
      <c r="I290">
        <v>4096.4799999999996</v>
      </c>
      <c r="J290" t="s">
        <v>20</v>
      </c>
      <c r="K290">
        <v>0.13</v>
      </c>
      <c r="L290" t="s">
        <v>16</v>
      </c>
      <c r="M290" t="s">
        <v>17</v>
      </c>
      <c r="N290" t="s">
        <v>64</v>
      </c>
    </row>
    <row r="291" spans="1:14" x14ac:dyDescent="0.3">
      <c r="A291">
        <v>1002</v>
      </c>
      <c r="B291" s="13">
        <v>45067</v>
      </c>
      <c r="C291" t="s">
        <v>31</v>
      </c>
      <c r="D291" t="s">
        <v>19</v>
      </c>
      <c r="E291">
        <v>7828.25</v>
      </c>
      <c r="F291">
        <v>26</v>
      </c>
      <c r="G291" t="s">
        <v>14</v>
      </c>
      <c r="H291">
        <v>2041.42</v>
      </c>
      <c r="I291">
        <v>2291.17</v>
      </c>
      <c r="J291" t="s">
        <v>20</v>
      </c>
      <c r="K291">
        <v>0.28000000000000003</v>
      </c>
      <c r="L291" t="s">
        <v>16</v>
      </c>
      <c r="M291" t="s">
        <v>29</v>
      </c>
      <c r="N291" t="s">
        <v>88</v>
      </c>
    </row>
    <row r="292" spans="1:14" x14ac:dyDescent="0.3">
      <c r="A292">
        <v>1001</v>
      </c>
      <c r="B292" s="13">
        <v>45141</v>
      </c>
      <c r="C292" t="s">
        <v>23</v>
      </c>
      <c r="D292" t="s">
        <v>19</v>
      </c>
      <c r="E292">
        <v>5879.35</v>
      </c>
      <c r="F292">
        <v>20</v>
      </c>
      <c r="G292" t="s">
        <v>22</v>
      </c>
      <c r="H292">
        <v>2153.52</v>
      </c>
      <c r="I292">
        <v>2303.6999999999998</v>
      </c>
      <c r="J292" t="s">
        <v>20</v>
      </c>
      <c r="K292">
        <v>0.01</v>
      </c>
      <c r="L292" t="s">
        <v>16</v>
      </c>
      <c r="M292" t="s">
        <v>17</v>
      </c>
      <c r="N292" t="s">
        <v>81</v>
      </c>
    </row>
    <row r="293" spans="1:14" x14ac:dyDescent="0.3">
      <c r="A293">
        <v>1048</v>
      </c>
      <c r="B293" s="13">
        <v>45137</v>
      </c>
      <c r="C293" t="s">
        <v>26</v>
      </c>
      <c r="D293" t="s">
        <v>30</v>
      </c>
      <c r="E293">
        <v>9527</v>
      </c>
      <c r="F293">
        <v>6</v>
      </c>
      <c r="G293" t="s">
        <v>24</v>
      </c>
      <c r="H293">
        <v>1945.27</v>
      </c>
      <c r="I293">
        <v>2309.4299999999998</v>
      </c>
      <c r="J293" t="s">
        <v>15</v>
      </c>
      <c r="K293">
        <v>0.26</v>
      </c>
      <c r="L293" t="s">
        <v>21</v>
      </c>
      <c r="M293" t="s">
        <v>29</v>
      </c>
      <c r="N293" t="s">
        <v>71</v>
      </c>
    </row>
    <row r="294" spans="1:14" x14ac:dyDescent="0.3">
      <c r="A294">
        <v>1012</v>
      </c>
      <c r="B294" s="13">
        <v>45244</v>
      </c>
      <c r="C294" t="s">
        <v>12</v>
      </c>
      <c r="D294" t="s">
        <v>30</v>
      </c>
      <c r="E294">
        <v>519.98</v>
      </c>
      <c r="F294">
        <v>6</v>
      </c>
      <c r="G294" t="s">
        <v>14</v>
      </c>
      <c r="H294">
        <v>3609.42</v>
      </c>
      <c r="I294">
        <v>4082.62</v>
      </c>
      <c r="J294" t="s">
        <v>20</v>
      </c>
      <c r="K294">
        <v>0.3</v>
      </c>
      <c r="L294" t="s">
        <v>25</v>
      </c>
      <c r="M294" t="s">
        <v>17</v>
      </c>
      <c r="N294" t="s">
        <v>72</v>
      </c>
    </row>
    <row r="295" spans="1:14" x14ac:dyDescent="0.3">
      <c r="A295">
        <v>1069</v>
      </c>
      <c r="B295" s="13">
        <v>44958</v>
      </c>
      <c r="C295" t="s">
        <v>12</v>
      </c>
      <c r="D295" t="s">
        <v>30</v>
      </c>
      <c r="E295">
        <v>2726.73</v>
      </c>
      <c r="F295">
        <v>18</v>
      </c>
      <c r="G295" t="s">
        <v>24</v>
      </c>
      <c r="H295">
        <v>2760.21</v>
      </c>
      <c r="I295">
        <v>3219.58</v>
      </c>
      <c r="J295" t="s">
        <v>15</v>
      </c>
      <c r="K295">
        <v>0.27</v>
      </c>
      <c r="L295" t="s">
        <v>25</v>
      </c>
      <c r="M295" t="s">
        <v>17</v>
      </c>
      <c r="N295" t="s">
        <v>72</v>
      </c>
    </row>
    <row r="296" spans="1:14" x14ac:dyDescent="0.3">
      <c r="A296">
        <v>1037</v>
      </c>
      <c r="B296" s="13">
        <v>45084</v>
      </c>
      <c r="C296" t="s">
        <v>26</v>
      </c>
      <c r="D296" t="s">
        <v>27</v>
      </c>
      <c r="E296">
        <v>6055.38</v>
      </c>
      <c r="F296">
        <v>4</v>
      </c>
      <c r="G296" t="s">
        <v>22</v>
      </c>
      <c r="H296">
        <v>4721.7</v>
      </c>
      <c r="I296">
        <v>5017.58</v>
      </c>
      <c r="J296" t="s">
        <v>15</v>
      </c>
      <c r="K296">
        <v>0.24</v>
      </c>
      <c r="L296" t="s">
        <v>16</v>
      </c>
      <c r="M296" t="s">
        <v>17</v>
      </c>
      <c r="N296" t="s">
        <v>63</v>
      </c>
    </row>
    <row r="297" spans="1:14" x14ac:dyDescent="0.3">
      <c r="A297">
        <v>1032</v>
      </c>
      <c r="B297" s="13">
        <v>45211</v>
      </c>
      <c r="C297" t="s">
        <v>26</v>
      </c>
      <c r="D297" t="s">
        <v>30</v>
      </c>
      <c r="E297">
        <v>3035.94</v>
      </c>
      <c r="F297">
        <v>17</v>
      </c>
      <c r="G297" t="s">
        <v>14</v>
      </c>
      <c r="H297">
        <v>1291.9100000000001</v>
      </c>
      <c r="I297" s="14" t="s">
        <v>242</v>
      </c>
      <c r="J297" t="s">
        <v>20</v>
      </c>
      <c r="K297">
        <v>0.11</v>
      </c>
      <c r="L297" t="s">
        <v>21</v>
      </c>
      <c r="M297" t="s">
        <v>17</v>
      </c>
      <c r="N297" t="s">
        <v>71</v>
      </c>
    </row>
    <row r="298" spans="1:14" x14ac:dyDescent="0.3">
      <c r="A298">
        <v>1009</v>
      </c>
      <c r="B298" s="13">
        <v>45231</v>
      </c>
      <c r="C298" t="s">
        <v>23</v>
      </c>
      <c r="D298" t="s">
        <v>27</v>
      </c>
      <c r="E298">
        <v>7172.8</v>
      </c>
      <c r="F298">
        <v>14</v>
      </c>
      <c r="G298" t="s">
        <v>22</v>
      </c>
      <c r="H298">
        <v>547.79</v>
      </c>
      <c r="I298">
        <v>958.76</v>
      </c>
      <c r="J298" t="s">
        <v>20</v>
      </c>
      <c r="K298">
        <v>7.0000000000000007E-2</v>
      </c>
      <c r="L298" t="s">
        <v>21</v>
      </c>
      <c r="M298" t="s">
        <v>17</v>
      </c>
      <c r="N298" t="s">
        <v>96</v>
      </c>
    </row>
    <row r="299" spans="1:14" x14ac:dyDescent="0.3">
      <c r="A299">
        <v>1099</v>
      </c>
      <c r="B299" s="13">
        <v>45212</v>
      </c>
      <c r="C299" t="s">
        <v>31</v>
      </c>
      <c r="D299" t="s">
        <v>30</v>
      </c>
      <c r="E299">
        <v>7614.15</v>
      </c>
      <c r="F299">
        <v>14</v>
      </c>
      <c r="G299" t="s">
        <v>22</v>
      </c>
      <c r="H299">
        <v>1996.64</v>
      </c>
      <c r="I299" s="14" t="s">
        <v>241</v>
      </c>
      <c r="J299" t="s">
        <v>20</v>
      </c>
      <c r="K299">
        <v>0.22</v>
      </c>
      <c r="L299" t="s">
        <v>21</v>
      </c>
      <c r="M299" t="s">
        <v>29</v>
      </c>
      <c r="N299" t="s">
        <v>62</v>
      </c>
    </row>
    <row r="300" spans="1:14" x14ac:dyDescent="0.3">
      <c r="A300">
        <v>1019</v>
      </c>
      <c r="B300" s="13">
        <v>45070</v>
      </c>
      <c r="C300" t="s">
        <v>12</v>
      </c>
      <c r="D300" t="s">
        <v>27</v>
      </c>
      <c r="E300">
        <v>1114.9100000000001</v>
      </c>
      <c r="F300">
        <v>13</v>
      </c>
      <c r="G300" t="s">
        <v>22</v>
      </c>
      <c r="H300">
        <v>3102.73</v>
      </c>
      <c r="I300">
        <v>3202.68</v>
      </c>
      <c r="J300" t="s">
        <v>15</v>
      </c>
      <c r="K300">
        <v>0.09</v>
      </c>
      <c r="L300" t="s">
        <v>16</v>
      </c>
      <c r="M300" t="s">
        <v>29</v>
      </c>
      <c r="N300" t="s">
        <v>100</v>
      </c>
    </row>
    <row r="301" spans="1:14" x14ac:dyDescent="0.3">
      <c r="A301">
        <v>1048</v>
      </c>
      <c r="B301" s="13">
        <v>44945</v>
      </c>
      <c r="C301" t="s">
        <v>23</v>
      </c>
      <c r="D301" t="s">
        <v>19</v>
      </c>
      <c r="E301">
        <v>5187.16</v>
      </c>
      <c r="F301">
        <v>7</v>
      </c>
      <c r="G301" t="s">
        <v>14</v>
      </c>
      <c r="H301">
        <v>4310.95</v>
      </c>
      <c r="I301">
        <v>4723.2</v>
      </c>
      <c r="J301" t="s">
        <v>20</v>
      </c>
      <c r="K301">
        <v>0.05</v>
      </c>
      <c r="L301" t="s">
        <v>21</v>
      </c>
      <c r="M301" t="s">
        <v>17</v>
      </c>
      <c r="N301" t="s">
        <v>81</v>
      </c>
    </row>
    <row r="302" spans="1:14" x14ac:dyDescent="0.3">
      <c r="A302">
        <v>1080</v>
      </c>
      <c r="B302" s="13">
        <v>44944</v>
      </c>
      <c r="C302" t="s">
        <v>31</v>
      </c>
      <c r="D302" t="s">
        <v>13</v>
      </c>
      <c r="E302">
        <v>5138.0200000000004</v>
      </c>
      <c r="F302">
        <v>44</v>
      </c>
      <c r="G302" t="s">
        <v>28</v>
      </c>
      <c r="H302">
        <v>1763.67</v>
      </c>
      <c r="I302" s="14" t="s">
        <v>240</v>
      </c>
      <c r="J302" t="s">
        <v>15</v>
      </c>
      <c r="K302">
        <v>0.24</v>
      </c>
      <c r="L302" t="s">
        <v>21</v>
      </c>
      <c r="M302" t="s">
        <v>29</v>
      </c>
      <c r="N302" t="s">
        <v>67</v>
      </c>
    </row>
    <row r="303" spans="1:14" x14ac:dyDescent="0.3">
      <c r="A303">
        <v>1003</v>
      </c>
      <c r="B303" s="13">
        <v>45183</v>
      </c>
      <c r="C303" t="s">
        <v>23</v>
      </c>
      <c r="D303" t="s">
        <v>19</v>
      </c>
      <c r="E303">
        <v>3755.88</v>
      </c>
      <c r="F303">
        <v>15</v>
      </c>
      <c r="G303" t="s">
        <v>14</v>
      </c>
      <c r="H303">
        <v>3286.24</v>
      </c>
      <c r="I303" s="14" t="s">
        <v>239</v>
      </c>
      <c r="J303" t="s">
        <v>20</v>
      </c>
      <c r="K303">
        <v>0.09</v>
      </c>
      <c r="L303" t="s">
        <v>21</v>
      </c>
      <c r="M303" t="s">
        <v>17</v>
      </c>
      <c r="N303" t="s">
        <v>81</v>
      </c>
    </row>
    <row r="304" spans="1:14" x14ac:dyDescent="0.3">
      <c r="A304">
        <v>1020</v>
      </c>
      <c r="B304" s="13">
        <v>45004</v>
      </c>
      <c r="C304" t="s">
        <v>12</v>
      </c>
      <c r="D304" t="s">
        <v>19</v>
      </c>
      <c r="E304">
        <v>9335.9599999999991</v>
      </c>
      <c r="F304">
        <v>19</v>
      </c>
      <c r="G304" t="s">
        <v>22</v>
      </c>
      <c r="H304">
        <v>1783.48</v>
      </c>
      <c r="I304">
        <v>1931.56</v>
      </c>
      <c r="J304" t="s">
        <v>20</v>
      </c>
      <c r="K304">
        <v>0.27</v>
      </c>
      <c r="L304" t="s">
        <v>25</v>
      </c>
      <c r="M304" t="s">
        <v>17</v>
      </c>
      <c r="N304" t="s">
        <v>74</v>
      </c>
    </row>
    <row r="305" spans="1:14" x14ac:dyDescent="0.3">
      <c r="A305">
        <v>1024</v>
      </c>
      <c r="B305" s="13">
        <v>45101</v>
      </c>
      <c r="C305" t="s">
        <v>26</v>
      </c>
      <c r="D305" t="s">
        <v>30</v>
      </c>
      <c r="E305">
        <v>8292.31</v>
      </c>
      <c r="F305">
        <v>43</v>
      </c>
      <c r="G305" t="s">
        <v>14</v>
      </c>
      <c r="H305">
        <v>3105.24</v>
      </c>
      <c r="I305">
        <v>3246.33</v>
      </c>
      <c r="J305" t="s">
        <v>15</v>
      </c>
      <c r="K305">
        <v>0.25</v>
      </c>
      <c r="L305" t="s">
        <v>16</v>
      </c>
      <c r="M305" t="s">
        <v>29</v>
      </c>
      <c r="N305" t="s">
        <v>71</v>
      </c>
    </row>
    <row r="306" spans="1:14" x14ac:dyDescent="0.3">
      <c r="A306">
        <v>1054</v>
      </c>
      <c r="B306" s="13">
        <v>45120</v>
      </c>
      <c r="C306" t="s">
        <v>26</v>
      </c>
      <c r="D306" t="s">
        <v>27</v>
      </c>
      <c r="E306">
        <v>7002.37</v>
      </c>
      <c r="F306">
        <v>47</v>
      </c>
      <c r="G306" t="s">
        <v>22</v>
      </c>
      <c r="H306">
        <v>4429.8</v>
      </c>
      <c r="I306">
        <v>4694.21</v>
      </c>
      <c r="J306" t="s">
        <v>15</v>
      </c>
      <c r="K306">
        <v>0.25</v>
      </c>
      <c r="L306" t="s">
        <v>25</v>
      </c>
      <c r="M306" t="s">
        <v>29</v>
      </c>
      <c r="N306" t="s">
        <v>63</v>
      </c>
    </row>
    <row r="307" spans="1:14" x14ac:dyDescent="0.3">
      <c r="A307">
        <v>1033</v>
      </c>
      <c r="B307" s="13">
        <v>45039</v>
      </c>
      <c r="C307" t="s">
        <v>31</v>
      </c>
      <c r="D307" t="s">
        <v>13</v>
      </c>
      <c r="E307">
        <v>7171.83</v>
      </c>
      <c r="F307">
        <v>44</v>
      </c>
      <c r="G307" t="s">
        <v>28</v>
      </c>
      <c r="H307">
        <v>1195.22</v>
      </c>
      <c r="I307">
        <v>1320.06</v>
      </c>
      <c r="J307" t="s">
        <v>20</v>
      </c>
      <c r="K307">
        <v>0.23</v>
      </c>
      <c r="L307" t="s">
        <v>25</v>
      </c>
      <c r="M307" t="s">
        <v>17</v>
      </c>
      <c r="N307" t="s">
        <v>67</v>
      </c>
    </row>
    <row r="308" spans="1:14" x14ac:dyDescent="0.3">
      <c r="A308">
        <v>1024</v>
      </c>
      <c r="B308" s="13">
        <v>45040</v>
      </c>
      <c r="C308" t="s">
        <v>18</v>
      </c>
      <c r="D308" t="s">
        <v>30</v>
      </c>
      <c r="E308">
        <v>4670.99</v>
      </c>
      <c r="F308">
        <v>35</v>
      </c>
      <c r="G308" t="s">
        <v>24</v>
      </c>
      <c r="H308">
        <v>2051</v>
      </c>
      <c r="I308">
        <v>2121.5500000000002</v>
      </c>
      <c r="J308" t="s">
        <v>20</v>
      </c>
      <c r="K308">
        <v>0.26</v>
      </c>
      <c r="L308" t="s">
        <v>16</v>
      </c>
      <c r="M308" t="s">
        <v>17</v>
      </c>
      <c r="N308" t="s">
        <v>64</v>
      </c>
    </row>
    <row r="309" spans="1:14" x14ac:dyDescent="0.3">
      <c r="A309">
        <v>1075</v>
      </c>
      <c r="B309" s="13">
        <v>45148</v>
      </c>
      <c r="C309" t="s">
        <v>31</v>
      </c>
      <c r="D309" t="s">
        <v>30</v>
      </c>
      <c r="E309">
        <v>9217.85</v>
      </c>
      <c r="F309">
        <v>17</v>
      </c>
      <c r="G309" t="s">
        <v>28</v>
      </c>
      <c r="H309">
        <v>4966.66</v>
      </c>
      <c r="I309" s="14" t="s">
        <v>238</v>
      </c>
      <c r="J309" t="s">
        <v>20</v>
      </c>
      <c r="K309">
        <v>0.24</v>
      </c>
      <c r="L309" t="s">
        <v>25</v>
      </c>
      <c r="M309" t="s">
        <v>17</v>
      </c>
      <c r="N309" t="s">
        <v>62</v>
      </c>
    </row>
    <row r="310" spans="1:14" x14ac:dyDescent="0.3">
      <c r="A310">
        <v>1072</v>
      </c>
      <c r="B310" s="13">
        <v>45092</v>
      </c>
      <c r="C310" t="s">
        <v>18</v>
      </c>
      <c r="D310" t="s">
        <v>30</v>
      </c>
      <c r="E310">
        <v>6976.49</v>
      </c>
      <c r="F310">
        <v>35</v>
      </c>
      <c r="G310" t="s">
        <v>28</v>
      </c>
      <c r="H310">
        <v>4349.3599999999997</v>
      </c>
      <c r="I310">
        <v>4645.17</v>
      </c>
      <c r="J310" t="s">
        <v>20</v>
      </c>
      <c r="K310">
        <v>0.18</v>
      </c>
      <c r="L310" t="s">
        <v>21</v>
      </c>
      <c r="M310" t="s">
        <v>17</v>
      </c>
      <c r="N310" t="s">
        <v>64</v>
      </c>
    </row>
    <row r="311" spans="1:14" x14ac:dyDescent="0.3">
      <c r="A311">
        <v>1036</v>
      </c>
      <c r="B311" s="13">
        <v>45245</v>
      </c>
      <c r="C311" t="s">
        <v>23</v>
      </c>
      <c r="D311" t="s">
        <v>19</v>
      </c>
      <c r="E311">
        <v>7316.91</v>
      </c>
      <c r="F311">
        <v>19</v>
      </c>
      <c r="G311" t="s">
        <v>24</v>
      </c>
      <c r="H311">
        <v>2844.97</v>
      </c>
      <c r="I311">
        <v>3215</v>
      </c>
      <c r="J311" t="s">
        <v>20</v>
      </c>
      <c r="K311">
        <v>0.09</v>
      </c>
      <c r="L311" t="s">
        <v>21</v>
      </c>
      <c r="M311" t="s">
        <v>17</v>
      </c>
      <c r="N311" t="s">
        <v>81</v>
      </c>
    </row>
    <row r="312" spans="1:14" x14ac:dyDescent="0.3">
      <c r="A312">
        <v>1038</v>
      </c>
      <c r="B312" s="13">
        <v>45058</v>
      </c>
      <c r="C312" t="s">
        <v>23</v>
      </c>
      <c r="D312" t="s">
        <v>27</v>
      </c>
      <c r="E312">
        <v>8630.74</v>
      </c>
      <c r="F312">
        <v>20</v>
      </c>
      <c r="G312" t="s">
        <v>14</v>
      </c>
      <c r="H312">
        <v>2607.31</v>
      </c>
      <c r="I312">
        <v>2774.86</v>
      </c>
      <c r="J312" t="s">
        <v>15</v>
      </c>
      <c r="K312">
        <v>0.27</v>
      </c>
      <c r="L312" t="s">
        <v>21</v>
      </c>
      <c r="M312" t="s">
        <v>17</v>
      </c>
      <c r="N312" t="s">
        <v>96</v>
      </c>
    </row>
    <row r="313" spans="1:14" x14ac:dyDescent="0.3">
      <c r="A313">
        <v>1084</v>
      </c>
      <c r="B313" s="13">
        <v>45190</v>
      </c>
      <c r="C313" t="s">
        <v>12</v>
      </c>
      <c r="D313" t="s">
        <v>27</v>
      </c>
      <c r="E313">
        <v>2813.31</v>
      </c>
      <c r="F313">
        <v>36</v>
      </c>
      <c r="G313" t="s">
        <v>24</v>
      </c>
      <c r="H313">
        <v>1458.77</v>
      </c>
      <c r="I313">
        <v>1485.75</v>
      </c>
      <c r="J313" t="s">
        <v>15</v>
      </c>
      <c r="K313">
        <v>0.25</v>
      </c>
      <c r="L313" t="s">
        <v>21</v>
      </c>
      <c r="M313" t="s">
        <v>29</v>
      </c>
      <c r="N313" t="s">
        <v>100</v>
      </c>
    </row>
    <row r="314" spans="1:14" x14ac:dyDescent="0.3">
      <c r="A314">
        <v>1099</v>
      </c>
      <c r="B314" s="13">
        <v>44981</v>
      </c>
      <c r="C314" t="s">
        <v>18</v>
      </c>
      <c r="D314" t="s">
        <v>13</v>
      </c>
      <c r="E314">
        <v>8090</v>
      </c>
      <c r="F314">
        <v>35</v>
      </c>
      <c r="G314" t="s">
        <v>14</v>
      </c>
      <c r="H314">
        <v>2610.19</v>
      </c>
      <c r="I314">
        <v>2682.53</v>
      </c>
      <c r="J314" t="s">
        <v>15</v>
      </c>
      <c r="K314">
        <v>0.14000000000000001</v>
      </c>
      <c r="L314" t="s">
        <v>16</v>
      </c>
      <c r="M314" t="s">
        <v>17</v>
      </c>
      <c r="N314" t="s">
        <v>80</v>
      </c>
    </row>
    <row r="315" spans="1:14" x14ac:dyDescent="0.3">
      <c r="A315">
        <v>1089</v>
      </c>
      <c r="B315" s="13">
        <v>45285</v>
      </c>
      <c r="C315" t="s">
        <v>12</v>
      </c>
      <c r="D315" t="s">
        <v>27</v>
      </c>
      <c r="E315">
        <v>2032.88</v>
      </c>
      <c r="F315">
        <v>32</v>
      </c>
      <c r="G315" t="s">
        <v>14</v>
      </c>
      <c r="H315">
        <v>4248.5</v>
      </c>
      <c r="I315">
        <v>4706.7</v>
      </c>
      <c r="J315" t="s">
        <v>15</v>
      </c>
      <c r="K315">
        <v>0.01</v>
      </c>
      <c r="L315" t="s">
        <v>25</v>
      </c>
      <c r="M315" t="s">
        <v>17</v>
      </c>
      <c r="N315" t="s">
        <v>100</v>
      </c>
    </row>
    <row r="316" spans="1:14" x14ac:dyDescent="0.3">
      <c r="A316">
        <v>1099</v>
      </c>
      <c r="B316" s="13">
        <v>45057</v>
      </c>
      <c r="C316" t="s">
        <v>26</v>
      </c>
      <c r="D316" t="s">
        <v>27</v>
      </c>
      <c r="E316">
        <v>3518.89</v>
      </c>
      <c r="F316">
        <v>48</v>
      </c>
      <c r="G316" t="s">
        <v>22</v>
      </c>
      <c r="H316">
        <v>3441.61</v>
      </c>
      <c r="I316" s="14" t="s">
        <v>237</v>
      </c>
      <c r="J316" t="s">
        <v>20</v>
      </c>
      <c r="K316">
        <v>0.19</v>
      </c>
      <c r="L316" t="s">
        <v>25</v>
      </c>
      <c r="M316" t="s">
        <v>29</v>
      </c>
      <c r="N316" t="s">
        <v>63</v>
      </c>
    </row>
    <row r="317" spans="1:14" x14ac:dyDescent="0.3">
      <c r="A317">
        <v>1025</v>
      </c>
      <c r="B317" s="13">
        <v>45214</v>
      </c>
      <c r="C317" t="s">
        <v>18</v>
      </c>
      <c r="D317" t="s">
        <v>30</v>
      </c>
      <c r="E317">
        <v>3422.54</v>
      </c>
      <c r="F317">
        <v>44</v>
      </c>
      <c r="G317" t="s">
        <v>22</v>
      </c>
      <c r="H317">
        <v>1485.72</v>
      </c>
      <c r="I317">
        <v>1717.97</v>
      </c>
      <c r="J317" t="s">
        <v>15</v>
      </c>
      <c r="K317">
        <v>0.02</v>
      </c>
      <c r="L317" t="s">
        <v>21</v>
      </c>
      <c r="M317" t="s">
        <v>17</v>
      </c>
      <c r="N317" t="s">
        <v>64</v>
      </c>
    </row>
    <row r="318" spans="1:14" x14ac:dyDescent="0.3">
      <c r="A318">
        <v>1093</v>
      </c>
      <c r="B318" s="13">
        <v>45192</v>
      </c>
      <c r="C318" t="s">
        <v>31</v>
      </c>
      <c r="D318" t="s">
        <v>30</v>
      </c>
      <c r="E318">
        <v>9787.4</v>
      </c>
      <c r="F318">
        <v>40</v>
      </c>
      <c r="G318" t="s">
        <v>24</v>
      </c>
      <c r="H318">
        <v>1047.25</v>
      </c>
      <c r="I318">
        <v>1075.8900000000001</v>
      </c>
      <c r="J318" t="s">
        <v>15</v>
      </c>
      <c r="K318">
        <v>0.28000000000000003</v>
      </c>
      <c r="L318" t="s">
        <v>21</v>
      </c>
      <c r="M318" t="s">
        <v>17</v>
      </c>
      <c r="N318" t="s">
        <v>62</v>
      </c>
    </row>
    <row r="319" spans="1:14" x14ac:dyDescent="0.3">
      <c r="A319">
        <v>1018</v>
      </c>
      <c r="B319" s="13">
        <v>45292</v>
      </c>
      <c r="C319" t="s">
        <v>26</v>
      </c>
      <c r="D319" t="s">
        <v>19</v>
      </c>
      <c r="E319">
        <v>8579.7199999999993</v>
      </c>
      <c r="F319">
        <v>24</v>
      </c>
      <c r="G319" t="s">
        <v>28</v>
      </c>
      <c r="H319">
        <v>1362.78</v>
      </c>
      <c r="I319">
        <v>1729.81</v>
      </c>
      <c r="J319" t="s">
        <v>15</v>
      </c>
      <c r="K319">
        <v>0.28999999999999998</v>
      </c>
      <c r="L319" t="s">
        <v>25</v>
      </c>
      <c r="M319" t="s">
        <v>29</v>
      </c>
      <c r="N319" t="s">
        <v>76</v>
      </c>
    </row>
    <row r="320" spans="1:14" x14ac:dyDescent="0.3">
      <c r="A320">
        <v>1082</v>
      </c>
      <c r="B320" s="13">
        <v>45088</v>
      </c>
      <c r="C320" t="s">
        <v>26</v>
      </c>
      <c r="D320" t="s">
        <v>30</v>
      </c>
      <c r="E320">
        <v>7041.58</v>
      </c>
      <c r="F320">
        <v>17</v>
      </c>
      <c r="G320" t="s">
        <v>24</v>
      </c>
      <c r="H320">
        <v>890.31</v>
      </c>
      <c r="I320">
        <v>1159.06</v>
      </c>
      <c r="J320" t="s">
        <v>20</v>
      </c>
      <c r="K320">
        <v>0.06</v>
      </c>
      <c r="L320" t="s">
        <v>16</v>
      </c>
      <c r="M320" t="s">
        <v>17</v>
      </c>
      <c r="N320" t="s">
        <v>71</v>
      </c>
    </row>
    <row r="321" spans="1:14" x14ac:dyDescent="0.3">
      <c r="A321">
        <v>1066</v>
      </c>
      <c r="B321" s="13">
        <v>45013</v>
      </c>
      <c r="C321" t="s">
        <v>31</v>
      </c>
      <c r="D321" t="s">
        <v>30</v>
      </c>
      <c r="E321">
        <v>7297.86</v>
      </c>
      <c r="F321">
        <v>7</v>
      </c>
      <c r="G321" t="s">
        <v>14</v>
      </c>
      <c r="H321">
        <v>523.41999999999996</v>
      </c>
      <c r="I321" s="14" t="s">
        <v>236</v>
      </c>
      <c r="J321" t="s">
        <v>15</v>
      </c>
      <c r="K321">
        <v>0.2</v>
      </c>
      <c r="L321" t="s">
        <v>25</v>
      </c>
      <c r="M321" t="s">
        <v>29</v>
      </c>
      <c r="N321" t="s">
        <v>62</v>
      </c>
    </row>
    <row r="322" spans="1:14" x14ac:dyDescent="0.3">
      <c r="A322">
        <v>1054</v>
      </c>
      <c r="B322" s="13">
        <v>44981</v>
      </c>
      <c r="C322" t="s">
        <v>26</v>
      </c>
      <c r="D322" t="s">
        <v>30</v>
      </c>
      <c r="E322">
        <v>5664.52</v>
      </c>
      <c r="F322">
        <v>43</v>
      </c>
      <c r="G322" t="s">
        <v>22</v>
      </c>
      <c r="H322">
        <v>2124.7199999999998</v>
      </c>
      <c r="I322">
        <v>2188.66</v>
      </c>
      <c r="J322" t="s">
        <v>20</v>
      </c>
      <c r="K322">
        <v>0.03</v>
      </c>
      <c r="L322" t="s">
        <v>21</v>
      </c>
      <c r="M322" t="s">
        <v>17</v>
      </c>
      <c r="N322" t="s">
        <v>71</v>
      </c>
    </row>
    <row r="323" spans="1:14" x14ac:dyDescent="0.3">
      <c r="A323">
        <v>1035</v>
      </c>
      <c r="B323" s="13">
        <v>45214</v>
      </c>
      <c r="C323" t="s">
        <v>18</v>
      </c>
      <c r="D323" t="s">
        <v>30</v>
      </c>
      <c r="E323">
        <v>9476.2000000000007</v>
      </c>
      <c r="F323">
        <v>1</v>
      </c>
      <c r="G323" t="s">
        <v>24</v>
      </c>
      <c r="H323">
        <v>610.83000000000004</v>
      </c>
      <c r="I323">
        <v>808.69</v>
      </c>
      <c r="J323" t="s">
        <v>15</v>
      </c>
      <c r="K323">
        <v>0.22</v>
      </c>
      <c r="L323" t="s">
        <v>21</v>
      </c>
      <c r="M323" t="s">
        <v>29</v>
      </c>
      <c r="N323" t="s">
        <v>64</v>
      </c>
    </row>
    <row r="324" spans="1:14" x14ac:dyDescent="0.3">
      <c r="A324">
        <v>1080</v>
      </c>
      <c r="B324" s="13">
        <v>45104</v>
      </c>
      <c r="C324" t="s">
        <v>12</v>
      </c>
      <c r="D324" t="s">
        <v>19</v>
      </c>
      <c r="E324">
        <v>5012.96</v>
      </c>
      <c r="F324">
        <v>35</v>
      </c>
      <c r="G324" t="s">
        <v>24</v>
      </c>
      <c r="H324">
        <v>900.97</v>
      </c>
      <c r="I324">
        <v>1321.18</v>
      </c>
      <c r="J324" t="s">
        <v>20</v>
      </c>
      <c r="K324">
        <v>0.1</v>
      </c>
      <c r="L324" t="s">
        <v>16</v>
      </c>
      <c r="M324" t="s">
        <v>29</v>
      </c>
      <c r="N324" t="s">
        <v>74</v>
      </c>
    </row>
    <row r="325" spans="1:14" x14ac:dyDescent="0.3">
      <c r="A325">
        <v>1061</v>
      </c>
      <c r="B325" s="13">
        <v>45275</v>
      </c>
      <c r="C325" t="s">
        <v>26</v>
      </c>
      <c r="D325" t="s">
        <v>30</v>
      </c>
      <c r="E325">
        <v>3867.13</v>
      </c>
      <c r="F325">
        <v>32</v>
      </c>
      <c r="G325" t="s">
        <v>22</v>
      </c>
      <c r="H325">
        <v>2759.26</v>
      </c>
      <c r="I325">
        <v>3193.25</v>
      </c>
      <c r="J325" t="s">
        <v>15</v>
      </c>
      <c r="K325">
        <v>0.2</v>
      </c>
      <c r="L325" t="s">
        <v>25</v>
      </c>
      <c r="M325" t="s">
        <v>29</v>
      </c>
      <c r="N325" t="s">
        <v>71</v>
      </c>
    </row>
    <row r="326" spans="1:14" x14ac:dyDescent="0.3">
      <c r="A326">
        <v>1041</v>
      </c>
      <c r="B326" s="13">
        <v>44934</v>
      </c>
      <c r="C326" t="s">
        <v>18</v>
      </c>
      <c r="D326" t="s">
        <v>13</v>
      </c>
      <c r="E326">
        <v>1714.05</v>
      </c>
      <c r="F326">
        <v>36</v>
      </c>
      <c r="G326" t="s">
        <v>22</v>
      </c>
      <c r="H326">
        <v>864.77</v>
      </c>
      <c r="I326" s="14" t="s">
        <v>235</v>
      </c>
      <c r="J326" t="s">
        <v>20</v>
      </c>
      <c r="K326">
        <v>0.11</v>
      </c>
      <c r="L326" t="s">
        <v>16</v>
      </c>
      <c r="M326" t="s">
        <v>17</v>
      </c>
      <c r="N326" t="s">
        <v>80</v>
      </c>
    </row>
    <row r="327" spans="1:14" x14ac:dyDescent="0.3">
      <c r="A327">
        <v>1100</v>
      </c>
      <c r="B327" s="13">
        <v>45247</v>
      </c>
      <c r="C327" t="s">
        <v>23</v>
      </c>
      <c r="D327" t="s">
        <v>13</v>
      </c>
      <c r="E327">
        <v>7883.44</v>
      </c>
      <c r="F327">
        <v>13</v>
      </c>
      <c r="G327" t="s">
        <v>22</v>
      </c>
      <c r="H327">
        <v>366.2</v>
      </c>
      <c r="I327">
        <v>732.69</v>
      </c>
      <c r="J327" t="s">
        <v>15</v>
      </c>
      <c r="K327">
        <v>0.04</v>
      </c>
      <c r="L327" t="s">
        <v>16</v>
      </c>
      <c r="M327" t="s">
        <v>17</v>
      </c>
      <c r="N327" t="s">
        <v>69</v>
      </c>
    </row>
    <row r="328" spans="1:14" x14ac:dyDescent="0.3">
      <c r="A328">
        <v>1033</v>
      </c>
      <c r="B328" s="13">
        <v>45239</v>
      </c>
      <c r="C328" t="s">
        <v>18</v>
      </c>
      <c r="D328" t="s">
        <v>13</v>
      </c>
      <c r="E328">
        <v>7370.99</v>
      </c>
      <c r="F328">
        <v>6</v>
      </c>
      <c r="G328" t="s">
        <v>14</v>
      </c>
      <c r="H328">
        <v>1621.07</v>
      </c>
      <c r="I328">
        <v>1687.5</v>
      </c>
      <c r="J328" t="s">
        <v>20</v>
      </c>
      <c r="K328">
        <v>0.12</v>
      </c>
      <c r="L328" t="s">
        <v>21</v>
      </c>
      <c r="M328" t="s">
        <v>29</v>
      </c>
      <c r="N328" t="s">
        <v>80</v>
      </c>
    </row>
    <row r="329" spans="1:14" x14ac:dyDescent="0.3">
      <c r="A329">
        <v>1068</v>
      </c>
      <c r="B329" s="13">
        <v>45173</v>
      </c>
      <c r="C329" t="s">
        <v>12</v>
      </c>
      <c r="D329" t="s">
        <v>13</v>
      </c>
      <c r="E329">
        <v>3905.11</v>
      </c>
      <c r="F329">
        <v>14</v>
      </c>
      <c r="G329" t="s">
        <v>22</v>
      </c>
      <c r="H329">
        <v>1140.58</v>
      </c>
      <c r="I329">
        <v>1438.76</v>
      </c>
      <c r="J329" t="s">
        <v>20</v>
      </c>
      <c r="K329">
        <v>0.03</v>
      </c>
      <c r="L329" t="s">
        <v>25</v>
      </c>
      <c r="M329" t="s">
        <v>29</v>
      </c>
      <c r="N329" t="s">
        <v>83</v>
      </c>
    </row>
    <row r="330" spans="1:14" x14ac:dyDescent="0.3">
      <c r="A330">
        <v>1033</v>
      </c>
      <c r="B330" s="13">
        <v>45249</v>
      </c>
      <c r="C330" t="s">
        <v>18</v>
      </c>
      <c r="D330" t="s">
        <v>30</v>
      </c>
      <c r="E330">
        <v>349.41</v>
      </c>
      <c r="F330">
        <v>37</v>
      </c>
      <c r="G330" t="s">
        <v>28</v>
      </c>
      <c r="H330">
        <v>2600.7600000000002</v>
      </c>
      <c r="I330">
        <v>2937.57</v>
      </c>
      <c r="J330" t="s">
        <v>15</v>
      </c>
      <c r="K330">
        <v>0.17</v>
      </c>
      <c r="L330" t="s">
        <v>21</v>
      </c>
      <c r="M330" t="s">
        <v>17</v>
      </c>
      <c r="N330" t="s">
        <v>64</v>
      </c>
    </row>
    <row r="331" spans="1:14" x14ac:dyDescent="0.3">
      <c r="A331">
        <v>1014</v>
      </c>
      <c r="B331" s="13">
        <v>45181</v>
      </c>
      <c r="C331" t="s">
        <v>31</v>
      </c>
      <c r="D331" t="s">
        <v>13</v>
      </c>
      <c r="E331">
        <v>8406.07</v>
      </c>
      <c r="F331">
        <v>48</v>
      </c>
      <c r="G331" t="s">
        <v>24</v>
      </c>
      <c r="H331">
        <v>556.72</v>
      </c>
      <c r="I331">
        <v>665.07</v>
      </c>
      <c r="J331" t="s">
        <v>20</v>
      </c>
      <c r="K331">
        <v>0.01</v>
      </c>
      <c r="L331" t="s">
        <v>25</v>
      </c>
      <c r="M331" t="s">
        <v>17</v>
      </c>
      <c r="N331" t="s">
        <v>67</v>
      </c>
    </row>
    <row r="332" spans="1:14" x14ac:dyDescent="0.3">
      <c r="A332">
        <v>1021</v>
      </c>
      <c r="B332" s="13">
        <v>45254</v>
      </c>
      <c r="C332" t="s">
        <v>12</v>
      </c>
      <c r="D332" t="s">
        <v>30</v>
      </c>
      <c r="E332">
        <v>213.04</v>
      </c>
      <c r="F332">
        <v>15</v>
      </c>
      <c r="G332" t="s">
        <v>22</v>
      </c>
      <c r="H332">
        <v>3771.27</v>
      </c>
      <c r="I332">
        <v>4212.55</v>
      </c>
      <c r="J332" t="s">
        <v>20</v>
      </c>
      <c r="K332">
        <v>0.16</v>
      </c>
      <c r="L332" t="s">
        <v>21</v>
      </c>
      <c r="M332" t="s">
        <v>17</v>
      </c>
      <c r="N332" t="s">
        <v>72</v>
      </c>
    </row>
    <row r="333" spans="1:14" x14ac:dyDescent="0.3">
      <c r="A333">
        <v>1048</v>
      </c>
      <c r="B333" s="13">
        <v>44980</v>
      </c>
      <c r="C333" t="s">
        <v>23</v>
      </c>
      <c r="D333" t="s">
        <v>19</v>
      </c>
      <c r="E333">
        <v>7066.63</v>
      </c>
      <c r="F333">
        <v>47</v>
      </c>
      <c r="G333" t="s">
        <v>22</v>
      </c>
      <c r="H333">
        <v>4535.8599999999997</v>
      </c>
      <c r="I333">
        <v>4641.41</v>
      </c>
      <c r="J333" t="s">
        <v>15</v>
      </c>
      <c r="K333">
        <v>0.27</v>
      </c>
      <c r="L333" t="s">
        <v>21</v>
      </c>
      <c r="M333" t="s">
        <v>17</v>
      </c>
      <c r="N333" t="s">
        <v>81</v>
      </c>
    </row>
    <row r="334" spans="1:14" x14ac:dyDescent="0.3">
      <c r="A334">
        <v>1020</v>
      </c>
      <c r="B334" s="13">
        <v>45175</v>
      </c>
      <c r="C334" t="s">
        <v>31</v>
      </c>
      <c r="D334" t="s">
        <v>13</v>
      </c>
      <c r="E334">
        <v>9705.5499999999993</v>
      </c>
      <c r="F334">
        <v>4</v>
      </c>
      <c r="G334" t="s">
        <v>14</v>
      </c>
      <c r="H334">
        <v>3730</v>
      </c>
      <c r="I334">
        <v>3893.6</v>
      </c>
      <c r="J334" t="s">
        <v>15</v>
      </c>
      <c r="K334">
        <v>0.25</v>
      </c>
      <c r="L334" t="s">
        <v>25</v>
      </c>
      <c r="M334" t="s">
        <v>17</v>
      </c>
      <c r="N334" t="s">
        <v>67</v>
      </c>
    </row>
    <row r="335" spans="1:14" x14ac:dyDescent="0.3">
      <c r="A335">
        <v>1008</v>
      </c>
      <c r="B335" s="13">
        <v>45165</v>
      </c>
      <c r="C335" t="s">
        <v>18</v>
      </c>
      <c r="D335" t="s">
        <v>27</v>
      </c>
      <c r="E335">
        <v>4432.8500000000004</v>
      </c>
      <c r="F335">
        <v>40</v>
      </c>
      <c r="G335" t="s">
        <v>14</v>
      </c>
      <c r="H335">
        <v>2687.49</v>
      </c>
      <c r="I335">
        <v>3001.56</v>
      </c>
      <c r="J335" t="s">
        <v>20</v>
      </c>
      <c r="K335">
        <v>0.26</v>
      </c>
      <c r="L335" t="s">
        <v>25</v>
      </c>
      <c r="M335" t="s">
        <v>29</v>
      </c>
      <c r="N335" t="s">
        <v>58</v>
      </c>
    </row>
    <row r="336" spans="1:14" x14ac:dyDescent="0.3">
      <c r="A336">
        <v>1007</v>
      </c>
      <c r="B336" s="13">
        <v>45155</v>
      </c>
      <c r="C336" t="s">
        <v>12</v>
      </c>
      <c r="D336" t="s">
        <v>13</v>
      </c>
      <c r="E336">
        <v>2426.2399999999998</v>
      </c>
      <c r="F336">
        <v>16</v>
      </c>
      <c r="G336" t="s">
        <v>24</v>
      </c>
      <c r="H336">
        <v>4310.3100000000004</v>
      </c>
      <c r="I336">
        <v>4633.1000000000004</v>
      </c>
      <c r="J336" t="s">
        <v>15</v>
      </c>
      <c r="K336">
        <v>0.28000000000000003</v>
      </c>
      <c r="L336" t="s">
        <v>21</v>
      </c>
      <c r="M336" t="s">
        <v>17</v>
      </c>
      <c r="N336" t="s">
        <v>83</v>
      </c>
    </row>
    <row r="337" spans="1:14" x14ac:dyDescent="0.3">
      <c r="A337">
        <v>1067</v>
      </c>
      <c r="B337" s="13">
        <v>44993</v>
      </c>
      <c r="C337" t="s">
        <v>23</v>
      </c>
      <c r="D337" t="s">
        <v>13</v>
      </c>
      <c r="E337">
        <v>7078.22</v>
      </c>
      <c r="F337">
        <v>28</v>
      </c>
      <c r="G337" t="s">
        <v>28</v>
      </c>
      <c r="H337">
        <v>3489.85</v>
      </c>
      <c r="I337" s="14" t="s">
        <v>234</v>
      </c>
      <c r="J337" t="s">
        <v>15</v>
      </c>
      <c r="K337">
        <v>0.03</v>
      </c>
      <c r="L337" t="s">
        <v>25</v>
      </c>
      <c r="M337" t="s">
        <v>29</v>
      </c>
      <c r="N337" t="s">
        <v>69</v>
      </c>
    </row>
    <row r="338" spans="1:14" x14ac:dyDescent="0.3">
      <c r="A338">
        <v>1017</v>
      </c>
      <c r="B338" s="13">
        <v>44977</v>
      </c>
      <c r="C338" t="s">
        <v>31</v>
      </c>
      <c r="D338" t="s">
        <v>30</v>
      </c>
      <c r="E338">
        <v>8189.57</v>
      </c>
      <c r="F338">
        <v>16</v>
      </c>
      <c r="G338" t="s">
        <v>24</v>
      </c>
      <c r="H338">
        <v>102.23</v>
      </c>
      <c r="I338">
        <v>167.12</v>
      </c>
      <c r="J338" t="s">
        <v>15</v>
      </c>
      <c r="K338">
        <v>0.04</v>
      </c>
      <c r="L338" t="s">
        <v>21</v>
      </c>
      <c r="M338" t="s">
        <v>17</v>
      </c>
      <c r="N338" t="s">
        <v>62</v>
      </c>
    </row>
    <row r="339" spans="1:14" x14ac:dyDescent="0.3">
      <c r="A339">
        <v>1033</v>
      </c>
      <c r="B339" s="13">
        <v>45023</v>
      </c>
      <c r="C339" t="s">
        <v>23</v>
      </c>
      <c r="D339" t="s">
        <v>13</v>
      </c>
      <c r="E339">
        <v>5509.66</v>
      </c>
      <c r="F339">
        <v>4</v>
      </c>
      <c r="G339" t="s">
        <v>22</v>
      </c>
      <c r="H339">
        <v>2000.75</v>
      </c>
      <c r="I339">
        <v>2426.9899999999998</v>
      </c>
      <c r="J339" t="s">
        <v>20</v>
      </c>
      <c r="K339">
        <v>0.17</v>
      </c>
      <c r="L339" t="s">
        <v>25</v>
      </c>
      <c r="M339" t="s">
        <v>29</v>
      </c>
      <c r="N339" t="s">
        <v>69</v>
      </c>
    </row>
    <row r="340" spans="1:14" x14ac:dyDescent="0.3">
      <c r="A340">
        <v>1048</v>
      </c>
      <c r="B340" s="13">
        <v>45018</v>
      </c>
      <c r="C340" t="s">
        <v>18</v>
      </c>
      <c r="D340" t="s">
        <v>27</v>
      </c>
      <c r="E340">
        <v>9673.65</v>
      </c>
      <c r="F340">
        <v>45</v>
      </c>
      <c r="G340" t="s">
        <v>28</v>
      </c>
      <c r="H340">
        <v>4262.21</v>
      </c>
      <c r="I340">
        <v>4533.3100000000004</v>
      </c>
      <c r="J340" t="s">
        <v>20</v>
      </c>
      <c r="K340">
        <v>0.27</v>
      </c>
      <c r="L340" t="s">
        <v>21</v>
      </c>
      <c r="M340" t="s">
        <v>29</v>
      </c>
      <c r="N340" t="s">
        <v>58</v>
      </c>
    </row>
    <row r="341" spans="1:14" x14ac:dyDescent="0.3">
      <c r="A341">
        <v>1076</v>
      </c>
      <c r="B341" s="13">
        <v>45190</v>
      </c>
      <c r="C341" t="s">
        <v>23</v>
      </c>
      <c r="D341" t="s">
        <v>30</v>
      </c>
      <c r="E341">
        <v>611.52</v>
      </c>
      <c r="F341">
        <v>26</v>
      </c>
      <c r="G341" t="s">
        <v>28</v>
      </c>
      <c r="H341">
        <v>1762</v>
      </c>
      <c r="I341">
        <v>2002.95</v>
      </c>
      <c r="J341" t="s">
        <v>20</v>
      </c>
      <c r="K341">
        <v>0.28999999999999998</v>
      </c>
      <c r="L341" t="s">
        <v>21</v>
      </c>
      <c r="M341" t="s">
        <v>17</v>
      </c>
      <c r="N341" t="s">
        <v>60</v>
      </c>
    </row>
    <row r="342" spans="1:14" x14ac:dyDescent="0.3">
      <c r="A342">
        <v>1059</v>
      </c>
      <c r="B342" s="13">
        <v>45217</v>
      </c>
      <c r="C342" t="s">
        <v>26</v>
      </c>
      <c r="D342" t="s">
        <v>30</v>
      </c>
      <c r="E342">
        <v>5097.4799999999996</v>
      </c>
      <c r="F342">
        <v>28</v>
      </c>
      <c r="G342" t="s">
        <v>28</v>
      </c>
      <c r="H342">
        <v>224.32</v>
      </c>
      <c r="I342">
        <v>715.06</v>
      </c>
      <c r="J342" t="s">
        <v>20</v>
      </c>
      <c r="K342">
        <v>0.01</v>
      </c>
      <c r="L342" t="s">
        <v>21</v>
      </c>
      <c r="M342" t="s">
        <v>29</v>
      </c>
      <c r="N342" t="s">
        <v>71</v>
      </c>
    </row>
    <row r="343" spans="1:14" x14ac:dyDescent="0.3">
      <c r="A343">
        <v>1086</v>
      </c>
      <c r="B343" s="13">
        <v>45022</v>
      </c>
      <c r="C343" t="s">
        <v>31</v>
      </c>
      <c r="D343" t="s">
        <v>19</v>
      </c>
      <c r="E343">
        <v>7212.69</v>
      </c>
      <c r="F343">
        <v>32</v>
      </c>
      <c r="G343" t="s">
        <v>28</v>
      </c>
      <c r="H343">
        <v>3743.59</v>
      </c>
      <c r="I343">
        <v>4116.38</v>
      </c>
      <c r="J343" t="s">
        <v>20</v>
      </c>
      <c r="K343">
        <v>0.11</v>
      </c>
      <c r="L343" t="s">
        <v>16</v>
      </c>
      <c r="M343" t="s">
        <v>29</v>
      </c>
      <c r="N343" t="s">
        <v>88</v>
      </c>
    </row>
    <row r="344" spans="1:14" x14ac:dyDescent="0.3">
      <c r="A344">
        <v>1022</v>
      </c>
      <c r="B344" s="13">
        <v>45014</v>
      </c>
      <c r="C344" t="s">
        <v>23</v>
      </c>
      <c r="D344" t="s">
        <v>19</v>
      </c>
      <c r="E344">
        <v>8640.14</v>
      </c>
      <c r="F344">
        <v>45</v>
      </c>
      <c r="G344" t="s">
        <v>24</v>
      </c>
      <c r="H344">
        <v>4020.09</v>
      </c>
      <c r="I344" s="14" t="s">
        <v>233</v>
      </c>
      <c r="J344" t="s">
        <v>20</v>
      </c>
      <c r="K344">
        <v>0.06</v>
      </c>
      <c r="L344" t="s">
        <v>25</v>
      </c>
      <c r="M344" t="s">
        <v>29</v>
      </c>
      <c r="N344" t="s">
        <v>81</v>
      </c>
    </row>
    <row r="345" spans="1:14" x14ac:dyDescent="0.3">
      <c r="A345">
        <v>1030</v>
      </c>
      <c r="B345" s="13">
        <v>45004</v>
      </c>
      <c r="C345" t="s">
        <v>18</v>
      </c>
      <c r="D345" t="s">
        <v>13</v>
      </c>
      <c r="E345">
        <v>1874.63</v>
      </c>
      <c r="F345">
        <v>2</v>
      </c>
      <c r="G345" t="s">
        <v>14</v>
      </c>
      <c r="H345">
        <v>844.94</v>
      </c>
      <c r="I345">
        <v>1225.6400000000001</v>
      </c>
      <c r="J345" t="s">
        <v>20</v>
      </c>
      <c r="K345">
        <v>0.23</v>
      </c>
      <c r="L345" t="s">
        <v>21</v>
      </c>
      <c r="M345" t="s">
        <v>29</v>
      </c>
      <c r="N345" t="s">
        <v>80</v>
      </c>
    </row>
    <row r="346" spans="1:14" x14ac:dyDescent="0.3">
      <c r="A346">
        <v>1038</v>
      </c>
      <c r="B346" s="13">
        <v>45214</v>
      </c>
      <c r="C346" t="s">
        <v>18</v>
      </c>
      <c r="D346" t="s">
        <v>19</v>
      </c>
      <c r="E346">
        <v>8020.03</v>
      </c>
      <c r="F346">
        <v>31</v>
      </c>
      <c r="G346" t="s">
        <v>14</v>
      </c>
      <c r="H346">
        <v>2709.84</v>
      </c>
      <c r="I346">
        <v>2766.51</v>
      </c>
      <c r="J346" t="s">
        <v>15</v>
      </c>
      <c r="K346">
        <v>0.19</v>
      </c>
      <c r="L346" t="s">
        <v>16</v>
      </c>
      <c r="M346" t="s">
        <v>17</v>
      </c>
      <c r="N346" t="s">
        <v>56</v>
      </c>
    </row>
    <row r="347" spans="1:14" x14ac:dyDescent="0.3">
      <c r="A347">
        <v>1051</v>
      </c>
      <c r="B347" s="13">
        <v>45046</v>
      </c>
      <c r="C347" t="s">
        <v>23</v>
      </c>
      <c r="D347" t="s">
        <v>19</v>
      </c>
      <c r="E347">
        <v>5571.8</v>
      </c>
      <c r="F347">
        <v>3</v>
      </c>
      <c r="G347" t="s">
        <v>22</v>
      </c>
      <c r="H347">
        <v>1000.18</v>
      </c>
      <c r="I347">
        <v>1023.64</v>
      </c>
      <c r="J347" t="s">
        <v>20</v>
      </c>
      <c r="K347">
        <v>0.04</v>
      </c>
      <c r="L347" t="s">
        <v>21</v>
      </c>
      <c r="M347" t="s">
        <v>29</v>
      </c>
      <c r="N347" t="s">
        <v>81</v>
      </c>
    </row>
    <row r="348" spans="1:14" x14ac:dyDescent="0.3">
      <c r="A348">
        <v>1054</v>
      </c>
      <c r="B348" s="13">
        <v>45228</v>
      </c>
      <c r="C348" t="s">
        <v>18</v>
      </c>
      <c r="D348" t="s">
        <v>19</v>
      </c>
      <c r="E348">
        <v>4025.88</v>
      </c>
      <c r="F348">
        <v>8</v>
      </c>
      <c r="G348" t="s">
        <v>14</v>
      </c>
      <c r="H348">
        <v>3610.21</v>
      </c>
      <c r="I348" s="14" t="s">
        <v>232</v>
      </c>
      <c r="J348" t="s">
        <v>20</v>
      </c>
      <c r="K348">
        <v>0.15</v>
      </c>
      <c r="L348" t="s">
        <v>16</v>
      </c>
      <c r="M348" t="s">
        <v>17</v>
      </c>
      <c r="N348" t="s">
        <v>56</v>
      </c>
    </row>
    <row r="349" spans="1:14" x14ac:dyDescent="0.3">
      <c r="A349">
        <v>1008</v>
      </c>
      <c r="B349" s="13">
        <v>45091</v>
      </c>
      <c r="C349" t="s">
        <v>12</v>
      </c>
      <c r="D349" t="s">
        <v>30</v>
      </c>
      <c r="E349">
        <v>1403.98</v>
      </c>
      <c r="F349">
        <v>24</v>
      </c>
      <c r="G349" t="s">
        <v>14</v>
      </c>
      <c r="H349">
        <v>1394.17</v>
      </c>
      <c r="I349">
        <v>1891.02</v>
      </c>
      <c r="J349" t="s">
        <v>15</v>
      </c>
      <c r="K349">
        <v>0.21</v>
      </c>
      <c r="L349" t="s">
        <v>21</v>
      </c>
      <c r="M349" t="s">
        <v>29</v>
      </c>
      <c r="N349" t="s">
        <v>72</v>
      </c>
    </row>
    <row r="350" spans="1:14" x14ac:dyDescent="0.3">
      <c r="A350">
        <v>1027</v>
      </c>
      <c r="B350" s="13">
        <v>45108</v>
      </c>
      <c r="C350" t="s">
        <v>12</v>
      </c>
      <c r="D350" t="s">
        <v>30</v>
      </c>
      <c r="E350">
        <v>8666.43</v>
      </c>
      <c r="F350">
        <v>15</v>
      </c>
      <c r="G350" t="s">
        <v>14</v>
      </c>
      <c r="H350">
        <v>1615.26</v>
      </c>
      <c r="I350">
        <v>1710.95</v>
      </c>
      <c r="J350" t="s">
        <v>15</v>
      </c>
      <c r="K350">
        <v>0.23</v>
      </c>
      <c r="L350" t="s">
        <v>21</v>
      </c>
      <c r="M350" t="s">
        <v>17</v>
      </c>
      <c r="N350" t="s">
        <v>72</v>
      </c>
    </row>
    <row r="351" spans="1:14" x14ac:dyDescent="0.3">
      <c r="A351">
        <v>1027</v>
      </c>
      <c r="B351" s="13">
        <v>45149</v>
      </c>
      <c r="C351" t="s">
        <v>12</v>
      </c>
      <c r="D351" t="s">
        <v>30</v>
      </c>
      <c r="E351">
        <v>1657</v>
      </c>
      <c r="F351">
        <v>43</v>
      </c>
      <c r="G351" t="s">
        <v>14</v>
      </c>
      <c r="H351">
        <v>4232.6099999999997</v>
      </c>
      <c r="I351">
        <v>4572.21</v>
      </c>
      <c r="J351" t="s">
        <v>15</v>
      </c>
      <c r="K351">
        <v>0.01</v>
      </c>
      <c r="L351" t="s">
        <v>16</v>
      </c>
      <c r="M351" t="s">
        <v>17</v>
      </c>
      <c r="N351" t="s">
        <v>72</v>
      </c>
    </row>
    <row r="352" spans="1:14" x14ac:dyDescent="0.3">
      <c r="A352">
        <v>1098</v>
      </c>
      <c r="B352" s="13">
        <v>45237</v>
      </c>
      <c r="C352" t="s">
        <v>26</v>
      </c>
      <c r="D352" t="s">
        <v>19</v>
      </c>
      <c r="E352">
        <v>3166.9</v>
      </c>
      <c r="F352">
        <v>31</v>
      </c>
      <c r="G352" t="s">
        <v>22</v>
      </c>
      <c r="H352">
        <v>2407.8000000000002</v>
      </c>
      <c r="I352">
        <v>2502.7600000000002</v>
      </c>
      <c r="J352" t="s">
        <v>20</v>
      </c>
      <c r="K352">
        <v>0.27</v>
      </c>
      <c r="L352" t="s">
        <v>16</v>
      </c>
      <c r="M352" t="s">
        <v>17</v>
      </c>
      <c r="N352" t="s">
        <v>76</v>
      </c>
    </row>
    <row r="353" spans="1:14" x14ac:dyDescent="0.3">
      <c r="A353">
        <v>1021</v>
      </c>
      <c r="B353" s="13">
        <v>44933</v>
      </c>
      <c r="C353" t="s">
        <v>23</v>
      </c>
      <c r="D353" t="s">
        <v>30</v>
      </c>
      <c r="E353">
        <v>2971.45</v>
      </c>
      <c r="F353">
        <v>9</v>
      </c>
      <c r="G353" t="s">
        <v>24</v>
      </c>
      <c r="H353">
        <v>3365.28</v>
      </c>
      <c r="I353" s="14" t="s">
        <v>231</v>
      </c>
      <c r="J353" t="s">
        <v>15</v>
      </c>
      <c r="K353">
        <v>0.17</v>
      </c>
      <c r="L353" t="s">
        <v>25</v>
      </c>
      <c r="M353" t="s">
        <v>29</v>
      </c>
      <c r="N353" t="s">
        <v>60</v>
      </c>
    </row>
    <row r="354" spans="1:14" x14ac:dyDescent="0.3">
      <c r="A354">
        <v>1030</v>
      </c>
      <c r="B354" s="13">
        <v>45256</v>
      </c>
      <c r="C354" t="s">
        <v>26</v>
      </c>
      <c r="D354" t="s">
        <v>19</v>
      </c>
      <c r="E354">
        <v>8727</v>
      </c>
      <c r="F354">
        <v>39</v>
      </c>
      <c r="G354" t="s">
        <v>28</v>
      </c>
      <c r="H354">
        <v>2041.75</v>
      </c>
      <c r="I354">
        <v>2299.37</v>
      </c>
      <c r="J354" t="s">
        <v>20</v>
      </c>
      <c r="K354">
        <v>0.24</v>
      </c>
      <c r="L354" t="s">
        <v>25</v>
      </c>
      <c r="M354" t="s">
        <v>17</v>
      </c>
      <c r="N354" t="s">
        <v>76</v>
      </c>
    </row>
    <row r="355" spans="1:14" x14ac:dyDescent="0.3">
      <c r="A355">
        <v>1097</v>
      </c>
      <c r="B355" s="13">
        <v>45189</v>
      </c>
      <c r="C355" t="s">
        <v>18</v>
      </c>
      <c r="D355" t="s">
        <v>30</v>
      </c>
      <c r="E355">
        <v>6759.76</v>
      </c>
      <c r="F355">
        <v>45</v>
      </c>
      <c r="G355" t="s">
        <v>14</v>
      </c>
      <c r="H355">
        <v>1525.13</v>
      </c>
      <c r="I355" s="14" t="s">
        <v>230</v>
      </c>
      <c r="J355" t="s">
        <v>20</v>
      </c>
      <c r="K355">
        <v>0.24</v>
      </c>
      <c r="L355" t="s">
        <v>16</v>
      </c>
      <c r="M355" t="s">
        <v>17</v>
      </c>
      <c r="N355" t="s">
        <v>64</v>
      </c>
    </row>
    <row r="356" spans="1:14" x14ac:dyDescent="0.3">
      <c r="A356">
        <v>1028</v>
      </c>
      <c r="B356" s="13">
        <v>45087</v>
      </c>
      <c r="C356" t="s">
        <v>26</v>
      </c>
      <c r="D356" t="s">
        <v>30</v>
      </c>
      <c r="E356">
        <v>7987.15</v>
      </c>
      <c r="F356">
        <v>2</v>
      </c>
      <c r="G356" t="s">
        <v>24</v>
      </c>
      <c r="H356">
        <v>3146.12</v>
      </c>
      <c r="I356" s="14" t="s">
        <v>229</v>
      </c>
      <c r="J356" t="s">
        <v>20</v>
      </c>
      <c r="K356">
        <v>0.06</v>
      </c>
      <c r="L356" t="s">
        <v>25</v>
      </c>
      <c r="M356" t="s">
        <v>29</v>
      </c>
      <c r="N356" t="s">
        <v>71</v>
      </c>
    </row>
    <row r="357" spans="1:14" x14ac:dyDescent="0.3">
      <c r="A357">
        <v>1064</v>
      </c>
      <c r="B357" s="13">
        <v>45077</v>
      </c>
      <c r="C357" t="s">
        <v>18</v>
      </c>
      <c r="D357" t="s">
        <v>27</v>
      </c>
      <c r="E357">
        <v>2579.63</v>
      </c>
      <c r="F357">
        <v>8</v>
      </c>
      <c r="G357" t="s">
        <v>14</v>
      </c>
      <c r="H357">
        <v>816.54</v>
      </c>
      <c r="I357">
        <v>1191.9000000000001</v>
      </c>
      <c r="J357" t="s">
        <v>15</v>
      </c>
      <c r="K357">
        <v>0.03</v>
      </c>
      <c r="L357" t="s">
        <v>16</v>
      </c>
      <c r="M357" t="s">
        <v>17</v>
      </c>
      <c r="N357" t="s">
        <v>58</v>
      </c>
    </row>
    <row r="358" spans="1:14" x14ac:dyDescent="0.3">
      <c r="A358">
        <v>1097</v>
      </c>
      <c r="B358" s="13">
        <v>45011</v>
      </c>
      <c r="C358" t="s">
        <v>18</v>
      </c>
      <c r="D358" t="s">
        <v>13</v>
      </c>
      <c r="E358">
        <v>6286.25</v>
      </c>
      <c r="F358">
        <v>7</v>
      </c>
      <c r="G358" t="s">
        <v>14</v>
      </c>
      <c r="H358">
        <v>1896.35</v>
      </c>
      <c r="I358">
        <v>2394.1999999999998</v>
      </c>
      <c r="J358" t="s">
        <v>15</v>
      </c>
      <c r="K358">
        <v>0.22</v>
      </c>
      <c r="L358" t="s">
        <v>25</v>
      </c>
      <c r="M358" t="s">
        <v>29</v>
      </c>
      <c r="N358" t="s">
        <v>80</v>
      </c>
    </row>
    <row r="359" spans="1:14" x14ac:dyDescent="0.3">
      <c r="A359">
        <v>1069</v>
      </c>
      <c r="B359" s="13">
        <v>45073</v>
      </c>
      <c r="C359" t="s">
        <v>31</v>
      </c>
      <c r="D359" t="s">
        <v>19</v>
      </c>
      <c r="E359">
        <v>5760.29</v>
      </c>
      <c r="F359">
        <v>44</v>
      </c>
      <c r="G359" t="s">
        <v>28</v>
      </c>
      <c r="H359">
        <v>1084.73</v>
      </c>
      <c r="I359">
        <v>1420.9</v>
      </c>
      <c r="J359" t="s">
        <v>20</v>
      </c>
      <c r="K359">
        <v>0.05</v>
      </c>
      <c r="L359" t="s">
        <v>21</v>
      </c>
      <c r="M359" t="s">
        <v>29</v>
      </c>
      <c r="N359" t="s">
        <v>88</v>
      </c>
    </row>
    <row r="360" spans="1:14" x14ac:dyDescent="0.3">
      <c r="A360">
        <v>1061</v>
      </c>
      <c r="B360" s="13">
        <v>45038</v>
      </c>
      <c r="C360" t="s">
        <v>12</v>
      </c>
      <c r="D360" t="s">
        <v>27</v>
      </c>
      <c r="E360">
        <v>8345.02</v>
      </c>
      <c r="F360">
        <v>39</v>
      </c>
      <c r="G360" t="s">
        <v>28</v>
      </c>
      <c r="H360">
        <v>3494.19</v>
      </c>
      <c r="I360">
        <v>3746</v>
      </c>
      <c r="J360" t="s">
        <v>20</v>
      </c>
      <c r="K360">
        <v>0.25</v>
      </c>
      <c r="L360" t="s">
        <v>25</v>
      </c>
      <c r="M360" t="s">
        <v>17</v>
      </c>
      <c r="N360" t="s">
        <v>100</v>
      </c>
    </row>
    <row r="361" spans="1:14" x14ac:dyDescent="0.3">
      <c r="A361">
        <v>1048</v>
      </c>
      <c r="B361" s="13">
        <v>44962</v>
      </c>
      <c r="C361" t="s">
        <v>18</v>
      </c>
      <c r="D361" t="s">
        <v>30</v>
      </c>
      <c r="E361">
        <v>9070.26</v>
      </c>
      <c r="F361">
        <v>42</v>
      </c>
      <c r="G361" t="s">
        <v>28</v>
      </c>
      <c r="H361">
        <v>4723.83</v>
      </c>
      <c r="I361">
        <v>5186.1899999999996</v>
      </c>
      <c r="J361" t="s">
        <v>20</v>
      </c>
      <c r="K361">
        <v>0.22</v>
      </c>
      <c r="L361" t="s">
        <v>21</v>
      </c>
      <c r="M361" t="s">
        <v>29</v>
      </c>
      <c r="N361" t="s">
        <v>64</v>
      </c>
    </row>
    <row r="362" spans="1:14" x14ac:dyDescent="0.3">
      <c r="A362">
        <v>1019</v>
      </c>
      <c r="B362" s="13">
        <v>45211</v>
      </c>
      <c r="C362" t="s">
        <v>31</v>
      </c>
      <c r="D362" t="s">
        <v>19</v>
      </c>
      <c r="E362">
        <v>220.35</v>
      </c>
      <c r="F362">
        <v>16</v>
      </c>
      <c r="G362" t="s">
        <v>14</v>
      </c>
      <c r="H362">
        <v>4977.78</v>
      </c>
      <c r="I362">
        <v>4995.55</v>
      </c>
      <c r="J362" t="s">
        <v>15</v>
      </c>
      <c r="K362">
        <v>0.25</v>
      </c>
      <c r="L362" t="s">
        <v>21</v>
      </c>
      <c r="M362" t="s">
        <v>29</v>
      </c>
      <c r="N362" t="s">
        <v>88</v>
      </c>
    </row>
    <row r="363" spans="1:14" x14ac:dyDescent="0.3">
      <c r="A363">
        <v>1004</v>
      </c>
      <c r="B363" s="13">
        <v>45114</v>
      </c>
      <c r="C363" t="s">
        <v>12</v>
      </c>
      <c r="D363" t="s">
        <v>30</v>
      </c>
      <c r="E363">
        <v>6772.8</v>
      </c>
      <c r="F363">
        <v>35</v>
      </c>
      <c r="G363" t="s">
        <v>14</v>
      </c>
      <c r="H363">
        <v>2278.87</v>
      </c>
      <c r="I363" s="14" t="s">
        <v>228</v>
      </c>
      <c r="J363" t="s">
        <v>20</v>
      </c>
      <c r="K363">
        <v>0.09</v>
      </c>
      <c r="L363" t="s">
        <v>25</v>
      </c>
      <c r="M363" t="s">
        <v>29</v>
      </c>
      <c r="N363" t="s">
        <v>72</v>
      </c>
    </row>
    <row r="364" spans="1:14" x14ac:dyDescent="0.3">
      <c r="A364">
        <v>1035</v>
      </c>
      <c r="B364" s="13">
        <v>45008</v>
      </c>
      <c r="C364" t="s">
        <v>18</v>
      </c>
      <c r="D364" t="s">
        <v>13</v>
      </c>
      <c r="E364">
        <v>613.16999999999996</v>
      </c>
      <c r="F364">
        <v>30</v>
      </c>
      <c r="G364" t="s">
        <v>14</v>
      </c>
      <c r="H364">
        <v>1300.03</v>
      </c>
      <c r="I364">
        <v>1745.52</v>
      </c>
      <c r="J364" t="s">
        <v>15</v>
      </c>
      <c r="K364">
        <v>0.09</v>
      </c>
      <c r="L364" t="s">
        <v>16</v>
      </c>
      <c r="M364" t="s">
        <v>17</v>
      </c>
      <c r="N364" t="s">
        <v>80</v>
      </c>
    </row>
    <row r="365" spans="1:14" x14ac:dyDescent="0.3">
      <c r="A365">
        <v>1064</v>
      </c>
      <c r="B365" s="13">
        <v>44928</v>
      </c>
      <c r="C365" t="s">
        <v>18</v>
      </c>
      <c r="D365" t="s">
        <v>27</v>
      </c>
      <c r="E365">
        <v>5533.7</v>
      </c>
      <c r="F365">
        <v>10</v>
      </c>
      <c r="G365" t="s">
        <v>28</v>
      </c>
      <c r="H365">
        <v>2242.0100000000002</v>
      </c>
      <c r="I365">
        <v>2282.23</v>
      </c>
      <c r="J365" t="s">
        <v>20</v>
      </c>
      <c r="K365">
        <v>0.2</v>
      </c>
      <c r="L365" t="s">
        <v>21</v>
      </c>
      <c r="M365" t="s">
        <v>29</v>
      </c>
      <c r="N365" t="s">
        <v>58</v>
      </c>
    </row>
    <row r="366" spans="1:14" x14ac:dyDescent="0.3">
      <c r="A366">
        <v>1049</v>
      </c>
      <c r="B366" s="13">
        <v>45229</v>
      </c>
      <c r="C366" t="s">
        <v>26</v>
      </c>
      <c r="D366" t="s">
        <v>13</v>
      </c>
      <c r="E366">
        <v>2947.56</v>
      </c>
      <c r="F366">
        <v>38</v>
      </c>
      <c r="G366" t="s">
        <v>22</v>
      </c>
      <c r="H366">
        <v>4243.9799999999996</v>
      </c>
      <c r="I366" s="14" t="s">
        <v>227</v>
      </c>
      <c r="J366" t="s">
        <v>15</v>
      </c>
      <c r="K366">
        <v>0.01</v>
      </c>
      <c r="L366" t="s">
        <v>21</v>
      </c>
      <c r="M366" t="s">
        <v>29</v>
      </c>
      <c r="N366" t="s">
        <v>55</v>
      </c>
    </row>
    <row r="367" spans="1:14" x14ac:dyDescent="0.3">
      <c r="A367">
        <v>1017</v>
      </c>
      <c r="B367" s="13">
        <v>45123</v>
      </c>
      <c r="C367" t="s">
        <v>26</v>
      </c>
      <c r="D367" t="s">
        <v>27</v>
      </c>
      <c r="E367">
        <v>3137.09</v>
      </c>
      <c r="F367">
        <v>18</v>
      </c>
      <c r="G367" t="s">
        <v>24</v>
      </c>
      <c r="H367">
        <v>1069.73</v>
      </c>
      <c r="I367">
        <v>1180.04</v>
      </c>
      <c r="J367" t="s">
        <v>20</v>
      </c>
      <c r="K367">
        <v>0.22</v>
      </c>
      <c r="L367" t="s">
        <v>25</v>
      </c>
      <c r="M367" t="s">
        <v>29</v>
      </c>
      <c r="N367" t="s">
        <v>63</v>
      </c>
    </row>
    <row r="368" spans="1:14" x14ac:dyDescent="0.3">
      <c r="A368">
        <v>1044</v>
      </c>
      <c r="B368" s="13">
        <v>44937</v>
      </c>
      <c r="C368" t="s">
        <v>12</v>
      </c>
      <c r="D368" t="s">
        <v>30</v>
      </c>
      <c r="E368">
        <v>3594.29</v>
      </c>
      <c r="F368">
        <v>5</v>
      </c>
      <c r="G368" t="s">
        <v>22</v>
      </c>
      <c r="H368">
        <v>4762.87</v>
      </c>
      <c r="I368">
        <v>5050.46</v>
      </c>
      <c r="J368" t="s">
        <v>15</v>
      </c>
      <c r="K368">
        <v>0.25</v>
      </c>
      <c r="L368" t="s">
        <v>16</v>
      </c>
      <c r="M368" t="s">
        <v>17</v>
      </c>
      <c r="N368" t="s">
        <v>72</v>
      </c>
    </row>
    <row r="369" spans="1:14" x14ac:dyDescent="0.3">
      <c r="A369">
        <v>1092</v>
      </c>
      <c r="B369" s="13">
        <v>45160</v>
      </c>
      <c r="C369" t="s">
        <v>18</v>
      </c>
      <c r="D369" t="s">
        <v>13</v>
      </c>
      <c r="E369">
        <v>6250.8</v>
      </c>
      <c r="F369">
        <v>29</v>
      </c>
      <c r="G369" t="s">
        <v>14</v>
      </c>
      <c r="H369">
        <v>1742.24</v>
      </c>
      <c r="I369">
        <v>2070.52</v>
      </c>
      <c r="J369" t="s">
        <v>15</v>
      </c>
      <c r="K369">
        <v>0.12</v>
      </c>
      <c r="L369" t="s">
        <v>16</v>
      </c>
      <c r="M369" t="s">
        <v>29</v>
      </c>
      <c r="N369" t="s">
        <v>80</v>
      </c>
    </row>
    <row r="370" spans="1:14" x14ac:dyDescent="0.3">
      <c r="A370">
        <v>1030</v>
      </c>
      <c r="B370" s="13">
        <v>45121</v>
      </c>
      <c r="C370" t="s">
        <v>23</v>
      </c>
      <c r="D370" t="s">
        <v>13</v>
      </c>
      <c r="E370">
        <v>3407.09</v>
      </c>
      <c r="F370">
        <v>39</v>
      </c>
      <c r="G370" t="s">
        <v>14</v>
      </c>
      <c r="H370">
        <v>4929.7299999999996</v>
      </c>
      <c r="I370" s="14" t="s">
        <v>226</v>
      </c>
      <c r="J370" t="s">
        <v>15</v>
      </c>
      <c r="K370">
        <v>0.23</v>
      </c>
      <c r="L370" t="s">
        <v>25</v>
      </c>
      <c r="M370" t="s">
        <v>17</v>
      </c>
      <c r="N370" t="s">
        <v>69</v>
      </c>
    </row>
    <row r="371" spans="1:14" x14ac:dyDescent="0.3">
      <c r="A371">
        <v>1093</v>
      </c>
      <c r="B371" s="13">
        <v>45045</v>
      </c>
      <c r="C371" t="s">
        <v>26</v>
      </c>
      <c r="D371" t="s">
        <v>30</v>
      </c>
      <c r="E371">
        <v>7353.72</v>
      </c>
      <c r="F371">
        <v>34</v>
      </c>
      <c r="G371" t="s">
        <v>22</v>
      </c>
      <c r="H371">
        <v>4201.1099999999997</v>
      </c>
      <c r="I371">
        <v>4436.5</v>
      </c>
      <c r="J371" t="s">
        <v>15</v>
      </c>
      <c r="K371">
        <v>0.05</v>
      </c>
      <c r="L371" t="s">
        <v>16</v>
      </c>
      <c r="M371" t="s">
        <v>29</v>
      </c>
      <c r="N371" t="s">
        <v>71</v>
      </c>
    </row>
    <row r="372" spans="1:14" x14ac:dyDescent="0.3">
      <c r="A372">
        <v>1046</v>
      </c>
      <c r="B372" s="13">
        <v>44946</v>
      </c>
      <c r="C372" t="s">
        <v>12</v>
      </c>
      <c r="D372" t="s">
        <v>13</v>
      </c>
      <c r="E372">
        <v>4104.82</v>
      </c>
      <c r="F372">
        <v>43</v>
      </c>
      <c r="G372" t="s">
        <v>14</v>
      </c>
      <c r="H372">
        <v>4052.42</v>
      </c>
      <c r="I372">
        <v>4199.3</v>
      </c>
      <c r="J372" t="s">
        <v>15</v>
      </c>
      <c r="K372">
        <v>0.1</v>
      </c>
      <c r="L372" t="s">
        <v>25</v>
      </c>
      <c r="M372" t="s">
        <v>17</v>
      </c>
      <c r="N372" t="s">
        <v>83</v>
      </c>
    </row>
    <row r="373" spans="1:14" x14ac:dyDescent="0.3">
      <c r="A373">
        <v>1006</v>
      </c>
      <c r="B373" s="13">
        <v>45187</v>
      </c>
      <c r="C373" t="s">
        <v>18</v>
      </c>
      <c r="D373" t="s">
        <v>19</v>
      </c>
      <c r="E373">
        <v>776.7</v>
      </c>
      <c r="F373">
        <v>45</v>
      </c>
      <c r="G373" t="s">
        <v>24</v>
      </c>
      <c r="H373">
        <v>1623.63</v>
      </c>
      <c r="I373">
        <v>1814.63</v>
      </c>
      <c r="J373" t="s">
        <v>15</v>
      </c>
      <c r="K373">
        <v>0.28999999999999998</v>
      </c>
      <c r="L373" t="s">
        <v>25</v>
      </c>
      <c r="M373" t="s">
        <v>17</v>
      </c>
      <c r="N373" t="s">
        <v>56</v>
      </c>
    </row>
    <row r="374" spans="1:14" x14ac:dyDescent="0.3">
      <c r="A374">
        <v>1099</v>
      </c>
      <c r="B374" s="13">
        <v>45219</v>
      </c>
      <c r="C374" t="s">
        <v>18</v>
      </c>
      <c r="D374" t="s">
        <v>27</v>
      </c>
      <c r="E374">
        <v>7859.22</v>
      </c>
      <c r="F374">
        <v>23</v>
      </c>
      <c r="G374" t="s">
        <v>14</v>
      </c>
      <c r="H374">
        <v>93.45</v>
      </c>
      <c r="I374">
        <v>181.62</v>
      </c>
      <c r="J374" t="s">
        <v>20</v>
      </c>
      <c r="K374">
        <v>0.3</v>
      </c>
      <c r="L374" t="s">
        <v>25</v>
      </c>
      <c r="M374" t="s">
        <v>17</v>
      </c>
      <c r="N374" t="s">
        <v>58</v>
      </c>
    </row>
    <row r="375" spans="1:14" x14ac:dyDescent="0.3">
      <c r="A375">
        <v>1037</v>
      </c>
      <c r="B375" s="13">
        <v>45182</v>
      </c>
      <c r="C375" t="s">
        <v>23</v>
      </c>
      <c r="D375" t="s">
        <v>27</v>
      </c>
      <c r="E375">
        <v>2929.01</v>
      </c>
      <c r="F375">
        <v>5</v>
      </c>
      <c r="G375" t="s">
        <v>24</v>
      </c>
      <c r="H375">
        <v>1941.56</v>
      </c>
      <c r="I375">
        <v>2385.48</v>
      </c>
      <c r="J375" t="s">
        <v>20</v>
      </c>
      <c r="K375">
        <v>0.15</v>
      </c>
      <c r="L375" t="s">
        <v>21</v>
      </c>
      <c r="M375" t="s">
        <v>29</v>
      </c>
      <c r="N375" t="s">
        <v>96</v>
      </c>
    </row>
    <row r="376" spans="1:14" x14ac:dyDescent="0.3">
      <c r="A376">
        <v>1024</v>
      </c>
      <c r="B376" s="13">
        <v>45148</v>
      </c>
      <c r="C376" t="s">
        <v>12</v>
      </c>
      <c r="D376" t="s">
        <v>27</v>
      </c>
      <c r="E376">
        <v>4384.3900000000003</v>
      </c>
      <c r="F376">
        <v>30</v>
      </c>
      <c r="G376" t="s">
        <v>22</v>
      </c>
      <c r="H376">
        <v>1543.96</v>
      </c>
      <c r="I376" s="14" t="s">
        <v>225</v>
      </c>
      <c r="J376" t="s">
        <v>20</v>
      </c>
      <c r="K376">
        <v>0.28000000000000003</v>
      </c>
      <c r="L376" t="s">
        <v>21</v>
      </c>
      <c r="M376" t="s">
        <v>29</v>
      </c>
      <c r="N376" t="s">
        <v>100</v>
      </c>
    </row>
    <row r="377" spans="1:14" x14ac:dyDescent="0.3">
      <c r="A377">
        <v>1093</v>
      </c>
      <c r="B377" s="13">
        <v>45152</v>
      </c>
      <c r="C377" t="s">
        <v>18</v>
      </c>
      <c r="D377" t="s">
        <v>19</v>
      </c>
      <c r="E377">
        <v>6885.89</v>
      </c>
      <c r="F377">
        <v>6</v>
      </c>
      <c r="G377" t="s">
        <v>22</v>
      </c>
      <c r="H377">
        <v>235.12</v>
      </c>
      <c r="I377">
        <v>677.5</v>
      </c>
      <c r="J377" t="s">
        <v>20</v>
      </c>
      <c r="K377">
        <v>0.16</v>
      </c>
      <c r="L377" t="s">
        <v>21</v>
      </c>
      <c r="M377" t="s">
        <v>29</v>
      </c>
      <c r="N377" t="s">
        <v>56</v>
      </c>
    </row>
    <row r="378" spans="1:14" x14ac:dyDescent="0.3">
      <c r="A378">
        <v>1046</v>
      </c>
      <c r="B378" s="13">
        <v>44979</v>
      </c>
      <c r="C378" t="s">
        <v>26</v>
      </c>
      <c r="D378" t="s">
        <v>27</v>
      </c>
      <c r="E378">
        <v>3391.32</v>
      </c>
      <c r="F378">
        <v>46</v>
      </c>
      <c r="G378" t="s">
        <v>14</v>
      </c>
      <c r="H378">
        <v>2551.56</v>
      </c>
      <c r="I378">
        <v>2841.68</v>
      </c>
      <c r="J378" t="s">
        <v>15</v>
      </c>
      <c r="K378">
        <v>0.09</v>
      </c>
      <c r="L378" t="s">
        <v>25</v>
      </c>
      <c r="M378" t="s">
        <v>17</v>
      </c>
      <c r="N378" t="s">
        <v>63</v>
      </c>
    </row>
    <row r="379" spans="1:14" x14ac:dyDescent="0.3">
      <c r="A379">
        <v>1053</v>
      </c>
      <c r="B379" s="13">
        <v>45281</v>
      </c>
      <c r="C379" t="s">
        <v>23</v>
      </c>
      <c r="D379" t="s">
        <v>30</v>
      </c>
      <c r="E379">
        <v>660.2</v>
      </c>
      <c r="F379">
        <v>44</v>
      </c>
      <c r="G379" t="s">
        <v>24</v>
      </c>
      <c r="H379">
        <v>2045</v>
      </c>
      <c r="I379">
        <v>2217.5100000000002</v>
      </c>
      <c r="J379" t="s">
        <v>20</v>
      </c>
      <c r="K379">
        <v>0.08</v>
      </c>
      <c r="L379" t="s">
        <v>21</v>
      </c>
      <c r="M379" t="s">
        <v>29</v>
      </c>
      <c r="N379" t="s">
        <v>60</v>
      </c>
    </row>
    <row r="380" spans="1:14" x14ac:dyDescent="0.3">
      <c r="A380">
        <v>1095</v>
      </c>
      <c r="B380" s="13">
        <v>45268</v>
      </c>
      <c r="C380" t="s">
        <v>12</v>
      </c>
      <c r="D380" t="s">
        <v>13</v>
      </c>
      <c r="E380">
        <v>3801.82</v>
      </c>
      <c r="F380">
        <v>4</v>
      </c>
      <c r="G380" t="s">
        <v>14</v>
      </c>
      <c r="H380">
        <v>3191.05</v>
      </c>
      <c r="I380" s="14" t="s">
        <v>224</v>
      </c>
      <c r="J380" t="s">
        <v>15</v>
      </c>
      <c r="K380">
        <v>0.28000000000000003</v>
      </c>
      <c r="L380" t="s">
        <v>21</v>
      </c>
      <c r="M380" t="s">
        <v>29</v>
      </c>
      <c r="N380" t="s">
        <v>83</v>
      </c>
    </row>
    <row r="381" spans="1:14" x14ac:dyDescent="0.3">
      <c r="A381">
        <v>1099</v>
      </c>
      <c r="B381" s="13">
        <v>45290</v>
      </c>
      <c r="C381" t="s">
        <v>23</v>
      </c>
      <c r="D381" t="s">
        <v>19</v>
      </c>
      <c r="E381">
        <v>9450.0400000000009</v>
      </c>
      <c r="F381">
        <v>29</v>
      </c>
      <c r="G381" t="s">
        <v>28</v>
      </c>
      <c r="H381">
        <v>3124.87</v>
      </c>
      <c r="I381">
        <v>3383.67</v>
      </c>
      <c r="J381" t="s">
        <v>15</v>
      </c>
      <c r="K381">
        <v>0.05</v>
      </c>
      <c r="L381" t="s">
        <v>21</v>
      </c>
      <c r="M381" t="s">
        <v>17</v>
      </c>
      <c r="N381" t="s">
        <v>81</v>
      </c>
    </row>
    <row r="382" spans="1:14" x14ac:dyDescent="0.3">
      <c r="A382">
        <v>1060</v>
      </c>
      <c r="B382" s="13">
        <v>45206</v>
      </c>
      <c r="C382" t="s">
        <v>26</v>
      </c>
      <c r="D382" t="s">
        <v>27</v>
      </c>
      <c r="E382">
        <v>6453.17</v>
      </c>
      <c r="F382">
        <v>23</v>
      </c>
      <c r="G382" t="s">
        <v>28</v>
      </c>
      <c r="H382">
        <v>647.70000000000005</v>
      </c>
      <c r="I382">
        <v>902.26</v>
      </c>
      <c r="J382" t="s">
        <v>15</v>
      </c>
      <c r="K382">
        <v>0.17</v>
      </c>
      <c r="L382" t="s">
        <v>25</v>
      </c>
      <c r="M382" t="s">
        <v>29</v>
      </c>
      <c r="N382" t="s">
        <v>63</v>
      </c>
    </row>
    <row r="383" spans="1:14" x14ac:dyDescent="0.3">
      <c r="A383">
        <v>1097</v>
      </c>
      <c r="B383" s="13">
        <v>45007</v>
      </c>
      <c r="C383" t="s">
        <v>12</v>
      </c>
      <c r="D383" t="s">
        <v>30</v>
      </c>
      <c r="E383">
        <v>6747.64</v>
      </c>
      <c r="F383">
        <v>6</v>
      </c>
      <c r="G383" t="s">
        <v>28</v>
      </c>
      <c r="H383">
        <v>4885.9799999999996</v>
      </c>
      <c r="I383">
        <v>4949.95</v>
      </c>
      <c r="J383" t="s">
        <v>20</v>
      </c>
      <c r="K383">
        <v>0.17</v>
      </c>
      <c r="L383" t="s">
        <v>25</v>
      </c>
      <c r="M383" t="s">
        <v>29</v>
      </c>
      <c r="N383" t="s">
        <v>72</v>
      </c>
    </row>
    <row r="384" spans="1:14" x14ac:dyDescent="0.3">
      <c r="A384">
        <v>1063</v>
      </c>
      <c r="B384" s="13">
        <v>45128</v>
      </c>
      <c r="C384" t="s">
        <v>23</v>
      </c>
      <c r="D384" t="s">
        <v>13</v>
      </c>
      <c r="E384">
        <v>6359.59</v>
      </c>
      <c r="F384">
        <v>32</v>
      </c>
      <c r="G384" t="s">
        <v>28</v>
      </c>
      <c r="H384">
        <v>975.31</v>
      </c>
      <c r="I384">
        <v>1176.17</v>
      </c>
      <c r="J384" t="s">
        <v>15</v>
      </c>
      <c r="K384">
        <v>0.22</v>
      </c>
      <c r="L384" t="s">
        <v>25</v>
      </c>
      <c r="M384" t="s">
        <v>17</v>
      </c>
      <c r="N384" t="s">
        <v>69</v>
      </c>
    </row>
    <row r="385" spans="1:14" x14ac:dyDescent="0.3">
      <c r="A385">
        <v>1085</v>
      </c>
      <c r="B385" s="13">
        <v>45084</v>
      </c>
      <c r="C385" t="s">
        <v>31</v>
      </c>
      <c r="D385" t="s">
        <v>13</v>
      </c>
      <c r="E385">
        <v>2070.02</v>
      </c>
      <c r="F385">
        <v>42</v>
      </c>
      <c r="G385" t="s">
        <v>14</v>
      </c>
      <c r="H385">
        <v>2254.11</v>
      </c>
      <c r="I385">
        <v>2382.23</v>
      </c>
      <c r="J385" t="s">
        <v>20</v>
      </c>
      <c r="K385">
        <v>0.15</v>
      </c>
      <c r="L385" t="s">
        <v>21</v>
      </c>
      <c r="M385" t="s">
        <v>17</v>
      </c>
      <c r="N385" t="s">
        <v>67</v>
      </c>
    </row>
    <row r="386" spans="1:14" x14ac:dyDescent="0.3">
      <c r="A386">
        <v>1032</v>
      </c>
      <c r="B386" s="13">
        <v>45046</v>
      </c>
      <c r="C386" t="s">
        <v>26</v>
      </c>
      <c r="D386" t="s">
        <v>19</v>
      </c>
      <c r="E386">
        <v>4241.51</v>
      </c>
      <c r="F386">
        <v>18</v>
      </c>
      <c r="G386" t="s">
        <v>28</v>
      </c>
      <c r="H386">
        <v>2466.1799999999998</v>
      </c>
      <c r="I386">
        <v>2483.87</v>
      </c>
      <c r="J386" t="s">
        <v>20</v>
      </c>
      <c r="K386">
        <v>0.08</v>
      </c>
      <c r="L386" t="s">
        <v>16</v>
      </c>
      <c r="M386" t="s">
        <v>29</v>
      </c>
      <c r="N386" t="s">
        <v>76</v>
      </c>
    </row>
    <row r="387" spans="1:14" x14ac:dyDescent="0.3">
      <c r="A387">
        <v>1087</v>
      </c>
      <c r="B387" s="13">
        <v>44985</v>
      </c>
      <c r="C387" t="s">
        <v>26</v>
      </c>
      <c r="D387" t="s">
        <v>19</v>
      </c>
      <c r="E387">
        <v>7534.3</v>
      </c>
      <c r="F387">
        <v>15</v>
      </c>
      <c r="G387" t="s">
        <v>24</v>
      </c>
      <c r="H387">
        <v>4074.66</v>
      </c>
      <c r="I387">
        <v>4261.1099999999997</v>
      </c>
      <c r="J387" t="s">
        <v>20</v>
      </c>
      <c r="K387">
        <v>0.05</v>
      </c>
      <c r="L387" t="s">
        <v>21</v>
      </c>
      <c r="M387" t="s">
        <v>17</v>
      </c>
      <c r="N387" t="s">
        <v>76</v>
      </c>
    </row>
    <row r="388" spans="1:14" x14ac:dyDescent="0.3">
      <c r="A388">
        <v>1033</v>
      </c>
      <c r="B388" s="13">
        <v>45141</v>
      </c>
      <c r="C388" t="s">
        <v>26</v>
      </c>
      <c r="D388" t="s">
        <v>19</v>
      </c>
      <c r="E388">
        <v>1103.5899999999999</v>
      </c>
      <c r="F388">
        <v>40</v>
      </c>
      <c r="G388" t="s">
        <v>22</v>
      </c>
      <c r="H388">
        <v>541.19000000000005</v>
      </c>
      <c r="I388">
        <v>595.20000000000005</v>
      </c>
      <c r="J388" t="s">
        <v>20</v>
      </c>
      <c r="K388">
        <v>0.19</v>
      </c>
      <c r="L388" t="s">
        <v>21</v>
      </c>
      <c r="M388" t="s">
        <v>29</v>
      </c>
      <c r="N388" t="s">
        <v>76</v>
      </c>
    </row>
    <row r="389" spans="1:14" x14ac:dyDescent="0.3">
      <c r="A389">
        <v>1067</v>
      </c>
      <c r="B389" s="13">
        <v>45054</v>
      </c>
      <c r="C389" t="s">
        <v>31</v>
      </c>
      <c r="D389" t="s">
        <v>30</v>
      </c>
      <c r="E389">
        <v>2850.74</v>
      </c>
      <c r="F389">
        <v>32</v>
      </c>
      <c r="G389" t="s">
        <v>22</v>
      </c>
      <c r="H389">
        <v>2171.79</v>
      </c>
      <c r="I389">
        <v>2307.64</v>
      </c>
      <c r="J389" t="s">
        <v>20</v>
      </c>
      <c r="K389">
        <v>0.22</v>
      </c>
      <c r="L389" t="s">
        <v>25</v>
      </c>
      <c r="M389" t="s">
        <v>29</v>
      </c>
      <c r="N389" t="s">
        <v>62</v>
      </c>
    </row>
    <row r="390" spans="1:14" x14ac:dyDescent="0.3">
      <c r="A390">
        <v>1018</v>
      </c>
      <c r="B390" s="13">
        <v>45150</v>
      </c>
      <c r="C390" t="s">
        <v>31</v>
      </c>
      <c r="D390" t="s">
        <v>30</v>
      </c>
      <c r="E390">
        <v>2835.56</v>
      </c>
      <c r="F390">
        <v>9</v>
      </c>
      <c r="G390" t="s">
        <v>28</v>
      </c>
      <c r="H390">
        <v>3161.09</v>
      </c>
      <c r="I390">
        <v>3216.42</v>
      </c>
      <c r="J390" t="s">
        <v>15</v>
      </c>
      <c r="K390">
        <v>0.17</v>
      </c>
      <c r="L390" t="s">
        <v>25</v>
      </c>
      <c r="M390" t="s">
        <v>29</v>
      </c>
      <c r="N390" t="s">
        <v>62</v>
      </c>
    </row>
    <row r="391" spans="1:14" x14ac:dyDescent="0.3">
      <c r="A391">
        <v>1025</v>
      </c>
      <c r="B391" s="13">
        <v>45135</v>
      </c>
      <c r="C391" t="s">
        <v>18</v>
      </c>
      <c r="D391" t="s">
        <v>19</v>
      </c>
      <c r="E391">
        <v>4376.99</v>
      </c>
      <c r="F391">
        <v>37</v>
      </c>
      <c r="G391" t="s">
        <v>28</v>
      </c>
      <c r="H391">
        <v>1115.02</v>
      </c>
      <c r="I391">
        <v>1174.48</v>
      </c>
      <c r="J391" t="s">
        <v>15</v>
      </c>
      <c r="K391">
        <v>0.22</v>
      </c>
      <c r="L391" t="s">
        <v>21</v>
      </c>
      <c r="M391" t="s">
        <v>29</v>
      </c>
      <c r="N391" t="s">
        <v>56</v>
      </c>
    </row>
    <row r="392" spans="1:14" x14ac:dyDescent="0.3">
      <c r="A392">
        <v>1095</v>
      </c>
      <c r="B392" s="13">
        <v>45041</v>
      </c>
      <c r="C392" t="s">
        <v>23</v>
      </c>
      <c r="D392" t="s">
        <v>27</v>
      </c>
      <c r="E392">
        <v>9805.65</v>
      </c>
      <c r="F392">
        <v>10</v>
      </c>
      <c r="G392" t="s">
        <v>28</v>
      </c>
      <c r="H392">
        <v>3155.97</v>
      </c>
      <c r="I392">
        <v>3263.49</v>
      </c>
      <c r="J392" t="s">
        <v>20</v>
      </c>
      <c r="K392">
        <v>0.04</v>
      </c>
      <c r="L392" t="s">
        <v>21</v>
      </c>
      <c r="M392" t="s">
        <v>29</v>
      </c>
      <c r="N392" t="s">
        <v>96</v>
      </c>
    </row>
    <row r="393" spans="1:14" x14ac:dyDescent="0.3">
      <c r="A393">
        <v>1054</v>
      </c>
      <c r="B393" s="13">
        <v>45135</v>
      </c>
      <c r="C393" t="s">
        <v>18</v>
      </c>
      <c r="D393" t="s">
        <v>13</v>
      </c>
      <c r="E393">
        <v>768.28</v>
      </c>
      <c r="F393">
        <v>20</v>
      </c>
      <c r="G393" t="s">
        <v>14</v>
      </c>
      <c r="H393">
        <v>4622.1400000000003</v>
      </c>
      <c r="I393" s="14" t="s">
        <v>223</v>
      </c>
      <c r="J393" t="s">
        <v>15</v>
      </c>
      <c r="K393">
        <v>0.26</v>
      </c>
      <c r="L393" t="s">
        <v>16</v>
      </c>
      <c r="M393" t="s">
        <v>17</v>
      </c>
      <c r="N393" t="s">
        <v>80</v>
      </c>
    </row>
    <row r="394" spans="1:14" x14ac:dyDescent="0.3">
      <c r="A394">
        <v>1058</v>
      </c>
      <c r="B394" s="13">
        <v>44940</v>
      </c>
      <c r="C394" t="s">
        <v>23</v>
      </c>
      <c r="D394" t="s">
        <v>13</v>
      </c>
      <c r="E394">
        <v>5235.1400000000003</v>
      </c>
      <c r="F394">
        <v>6</v>
      </c>
      <c r="G394" t="s">
        <v>22</v>
      </c>
      <c r="H394">
        <v>4987.71</v>
      </c>
      <c r="I394">
        <v>4998.78</v>
      </c>
      <c r="J394" t="s">
        <v>20</v>
      </c>
      <c r="K394">
        <v>0.17</v>
      </c>
      <c r="L394" t="s">
        <v>16</v>
      </c>
      <c r="M394" t="s">
        <v>17</v>
      </c>
      <c r="N394" t="s">
        <v>69</v>
      </c>
    </row>
    <row r="395" spans="1:14" x14ac:dyDescent="0.3">
      <c r="A395">
        <v>1067</v>
      </c>
      <c r="B395" s="13">
        <v>44935</v>
      </c>
      <c r="C395" t="s">
        <v>31</v>
      </c>
      <c r="D395" t="s">
        <v>30</v>
      </c>
      <c r="E395">
        <v>1875.71</v>
      </c>
      <c r="F395">
        <v>48</v>
      </c>
      <c r="G395" t="s">
        <v>28</v>
      </c>
      <c r="H395">
        <v>210.63</v>
      </c>
      <c r="I395" s="14" t="s">
        <v>222</v>
      </c>
      <c r="J395" t="s">
        <v>15</v>
      </c>
      <c r="K395">
        <v>0.04</v>
      </c>
      <c r="L395" t="s">
        <v>25</v>
      </c>
      <c r="M395" t="s">
        <v>29</v>
      </c>
      <c r="N395" t="s">
        <v>62</v>
      </c>
    </row>
    <row r="396" spans="1:14" x14ac:dyDescent="0.3">
      <c r="A396">
        <v>1046</v>
      </c>
      <c r="B396" s="13">
        <v>44966</v>
      </c>
      <c r="C396" t="s">
        <v>31</v>
      </c>
      <c r="D396" t="s">
        <v>13</v>
      </c>
      <c r="E396">
        <v>9709.7000000000007</v>
      </c>
      <c r="F396">
        <v>3</v>
      </c>
      <c r="G396" t="s">
        <v>24</v>
      </c>
      <c r="H396">
        <v>1216.1600000000001</v>
      </c>
      <c r="I396" s="14" t="s">
        <v>221</v>
      </c>
      <c r="J396" t="s">
        <v>15</v>
      </c>
      <c r="K396">
        <v>0.14000000000000001</v>
      </c>
      <c r="L396" t="s">
        <v>16</v>
      </c>
      <c r="M396" t="s">
        <v>17</v>
      </c>
      <c r="N396" t="s">
        <v>67</v>
      </c>
    </row>
    <row r="397" spans="1:14" x14ac:dyDescent="0.3">
      <c r="A397">
        <v>1024</v>
      </c>
      <c r="B397" s="13">
        <v>45163</v>
      </c>
      <c r="C397" t="s">
        <v>18</v>
      </c>
      <c r="D397" t="s">
        <v>27</v>
      </c>
      <c r="E397">
        <v>1221.7</v>
      </c>
      <c r="F397">
        <v>42</v>
      </c>
      <c r="G397" t="s">
        <v>28</v>
      </c>
      <c r="H397">
        <v>1586.02</v>
      </c>
      <c r="I397">
        <v>2047.13</v>
      </c>
      <c r="J397" t="s">
        <v>15</v>
      </c>
      <c r="K397">
        <v>0.25</v>
      </c>
      <c r="L397" t="s">
        <v>16</v>
      </c>
      <c r="M397" t="s">
        <v>17</v>
      </c>
      <c r="N397" t="s">
        <v>58</v>
      </c>
    </row>
    <row r="398" spans="1:14" x14ac:dyDescent="0.3">
      <c r="A398">
        <v>1032</v>
      </c>
      <c r="B398" s="13">
        <v>45207</v>
      </c>
      <c r="C398" t="s">
        <v>12</v>
      </c>
      <c r="D398" t="s">
        <v>13</v>
      </c>
      <c r="E398">
        <v>4095.65</v>
      </c>
      <c r="F398">
        <v>11</v>
      </c>
      <c r="G398" t="s">
        <v>22</v>
      </c>
      <c r="H398">
        <v>2025.67</v>
      </c>
      <c r="I398">
        <v>2081.5500000000002</v>
      </c>
      <c r="J398" t="s">
        <v>15</v>
      </c>
      <c r="K398">
        <v>0.27</v>
      </c>
      <c r="L398" t="s">
        <v>25</v>
      </c>
      <c r="M398" t="s">
        <v>29</v>
      </c>
      <c r="N398" t="s">
        <v>83</v>
      </c>
    </row>
    <row r="399" spans="1:14" x14ac:dyDescent="0.3">
      <c r="A399">
        <v>1047</v>
      </c>
      <c r="B399" s="13">
        <v>45285</v>
      </c>
      <c r="C399" t="s">
        <v>18</v>
      </c>
      <c r="D399" t="s">
        <v>30</v>
      </c>
      <c r="E399">
        <v>7405.06</v>
      </c>
      <c r="F399">
        <v>43</v>
      </c>
      <c r="G399" t="s">
        <v>28</v>
      </c>
      <c r="H399">
        <v>1249.17</v>
      </c>
      <c r="I399">
        <v>1727.15</v>
      </c>
      <c r="J399" t="s">
        <v>15</v>
      </c>
      <c r="K399">
        <v>0.08</v>
      </c>
      <c r="L399" t="s">
        <v>16</v>
      </c>
      <c r="M399" t="s">
        <v>17</v>
      </c>
      <c r="N399" t="s">
        <v>64</v>
      </c>
    </row>
    <row r="400" spans="1:14" x14ac:dyDescent="0.3">
      <c r="A400">
        <v>1086</v>
      </c>
      <c r="B400" s="13">
        <v>45127</v>
      </c>
      <c r="C400" t="s">
        <v>23</v>
      </c>
      <c r="D400" t="s">
        <v>30</v>
      </c>
      <c r="E400">
        <v>7075.09</v>
      </c>
      <c r="F400">
        <v>17</v>
      </c>
      <c r="G400" t="s">
        <v>22</v>
      </c>
      <c r="H400">
        <v>1057.27</v>
      </c>
      <c r="I400">
        <v>1366.62</v>
      </c>
      <c r="J400" t="s">
        <v>15</v>
      </c>
      <c r="K400">
        <v>0.21</v>
      </c>
      <c r="L400" t="s">
        <v>21</v>
      </c>
      <c r="M400" t="s">
        <v>17</v>
      </c>
      <c r="N400" t="s">
        <v>60</v>
      </c>
    </row>
    <row r="401" spans="1:14" x14ac:dyDescent="0.3">
      <c r="A401">
        <v>1023</v>
      </c>
      <c r="B401" s="13">
        <v>45172</v>
      </c>
      <c r="C401" t="s">
        <v>18</v>
      </c>
      <c r="D401" t="s">
        <v>27</v>
      </c>
      <c r="E401">
        <v>4285.01</v>
      </c>
      <c r="F401">
        <v>32</v>
      </c>
      <c r="G401" t="s">
        <v>28</v>
      </c>
      <c r="H401">
        <v>4775.04</v>
      </c>
      <c r="I401">
        <v>4785.66</v>
      </c>
      <c r="J401" t="s">
        <v>15</v>
      </c>
      <c r="K401">
        <v>0.03</v>
      </c>
      <c r="L401" t="s">
        <v>16</v>
      </c>
      <c r="M401" t="s">
        <v>29</v>
      </c>
      <c r="N401" t="s">
        <v>58</v>
      </c>
    </row>
    <row r="402" spans="1:14" x14ac:dyDescent="0.3">
      <c r="A402">
        <v>1066</v>
      </c>
      <c r="B402" s="13">
        <v>45204</v>
      </c>
      <c r="C402" t="s">
        <v>26</v>
      </c>
      <c r="D402" t="s">
        <v>27</v>
      </c>
      <c r="E402">
        <v>3530.59</v>
      </c>
      <c r="F402">
        <v>4</v>
      </c>
      <c r="G402" t="s">
        <v>24</v>
      </c>
      <c r="H402">
        <v>4596.68</v>
      </c>
      <c r="I402" s="14" t="s">
        <v>220</v>
      </c>
      <c r="J402" t="s">
        <v>15</v>
      </c>
      <c r="K402">
        <v>0.01</v>
      </c>
      <c r="L402" t="s">
        <v>25</v>
      </c>
      <c r="M402" t="s">
        <v>29</v>
      </c>
      <c r="N402" t="s">
        <v>63</v>
      </c>
    </row>
    <row r="403" spans="1:14" x14ac:dyDescent="0.3">
      <c r="A403">
        <v>1027</v>
      </c>
      <c r="B403" s="13">
        <v>45161</v>
      </c>
      <c r="C403" t="s">
        <v>23</v>
      </c>
      <c r="D403" t="s">
        <v>13</v>
      </c>
      <c r="E403">
        <v>4036.36</v>
      </c>
      <c r="F403">
        <v>4</v>
      </c>
      <c r="G403" t="s">
        <v>28</v>
      </c>
      <c r="H403">
        <v>282.61</v>
      </c>
      <c r="I403">
        <v>548.25</v>
      </c>
      <c r="J403" t="s">
        <v>15</v>
      </c>
      <c r="K403">
        <v>0.17</v>
      </c>
      <c r="L403" t="s">
        <v>21</v>
      </c>
      <c r="M403" t="s">
        <v>29</v>
      </c>
      <c r="N403" t="s">
        <v>69</v>
      </c>
    </row>
    <row r="404" spans="1:14" x14ac:dyDescent="0.3">
      <c r="A404">
        <v>1002</v>
      </c>
      <c r="B404" s="13">
        <v>44930</v>
      </c>
      <c r="C404" t="s">
        <v>23</v>
      </c>
      <c r="D404" t="s">
        <v>13</v>
      </c>
      <c r="E404">
        <v>2716.34</v>
      </c>
      <c r="F404">
        <v>17</v>
      </c>
      <c r="G404" t="s">
        <v>24</v>
      </c>
      <c r="H404">
        <v>1727.12</v>
      </c>
      <c r="I404">
        <v>1865.83</v>
      </c>
      <c r="J404" t="s">
        <v>15</v>
      </c>
      <c r="K404">
        <v>0.21</v>
      </c>
      <c r="L404" t="s">
        <v>16</v>
      </c>
      <c r="M404" t="s">
        <v>29</v>
      </c>
      <c r="N404" t="s">
        <v>69</v>
      </c>
    </row>
    <row r="405" spans="1:14" x14ac:dyDescent="0.3">
      <c r="A405">
        <v>1090</v>
      </c>
      <c r="B405" s="13">
        <v>45080</v>
      </c>
      <c r="C405" t="s">
        <v>12</v>
      </c>
      <c r="D405" t="s">
        <v>30</v>
      </c>
      <c r="E405">
        <v>2132.8000000000002</v>
      </c>
      <c r="F405">
        <v>41</v>
      </c>
      <c r="G405" t="s">
        <v>24</v>
      </c>
      <c r="H405">
        <v>2055.4899999999998</v>
      </c>
      <c r="I405">
        <v>2441.46</v>
      </c>
      <c r="J405" t="s">
        <v>15</v>
      </c>
      <c r="K405">
        <v>0.24</v>
      </c>
      <c r="L405" t="s">
        <v>21</v>
      </c>
      <c r="M405" t="s">
        <v>29</v>
      </c>
      <c r="N405" t="s">
        <v>72</v>
      </c>
    </row>
    <row r="406" spans="1:14" x14ac:dyDescent="0.3">
      <c r="A406">
        <v>1017</v>
      </c>
      <c r="B406" s="13">
        <v>44955</v>
      </c>
      <c r="C406" t="s">
        <v>31</v>
      </c>
      <c r="D406" t="s">
        <v>27</v>
      </c>
      <c r="E406">
        <v>4882.09</v>
      </c>
      <c r="F406">
        <v>19</v>
      </c>
      <c r="G406" t="s">
        <v>28</v>
      </c>
      <c r="H406">
        <v>1233.1199999999999</v>
      </c>
      <c r="I406" s="14" t="s">
        <v>219</v>
      </c>
      <c r="J406" t="s">
        <v>15</v>
      </c>
      <c r="K406">
        <v>0.1</v>
      </c>
      <c r="L406" t="s">
        <v>21</v>
      </c>
      <c r="M406" t="s">
        <v>29</v>
      </c>
      <c r="N406" t="s">
        <v>86</v>
      </c>
    </row>
    <row r="407" spans="1:14" x14ac:dyDescent="0.3">
      <c r="A407">
        <v>1033</v>
      </c>
      <c r="B407" s="13">
        <v>45035</v>
      </c>
      <c r="C407" t="s">
        <v>23</v>
      </c>
      <c r="D407" t="s">
        <v>27</v>
      </c>
      <c r="E407">
        <v>2758.48</v>
      </c>
      <c r="F407">
        <v>5</v>
      </c>
      <c r="G407" t="s">
        <v>24</v>
      </c>
      <c r="H407">
        <v>3162.92</v>
      </c>
      <c r="I407" s="14" t="s">
        <v>218</v>
      </c>
      <c r="J407" t="s">
        <v>15</v>
      </c>
      <c r="K407">
        <v>0</v>
      </c>
      <c r="L407" t="s">
        <v>16</v>
      </c>
      <c r="M407" t="s">
        <v>29</v>
      </c>
      <c r="N407" t="s">
        <v>96</v>
      </c>
    </row>
    <row r="408" spans="1:14" x14ac:dyDescent="0.3">
      <c r="A408">
        <v>1009</v>
      </c>
      <c r="B408" s="13">
        <v>45024</v>
      </c>
      <c r="C408" t="s">
        <v>31</v>
      </c>
      <c r="D408" t="s">
        <v>27</v>
      </c>
      <c r="E408">
        <v>2945.87</v>
      </c>
      <c r="F408">
        <v>32</v>
      </c>
      <c r="G408" t="s">
        <v>14</v>
      </c>
      <c r="H408">
        <v>3219.88</v>
      </c>
      <c r="I408">
        <v>3384.5</v>
      </c>
      <c r="J408" t="s">
        <v>20</v>
      </c>
      <c r="K408">
        <v>0.14000000000000001</v>
      </c>
      <c r="L408" t="s">
        <v>16</v>
      </c>
      <c r="M408" t="s">
        <v>17</v>
      </c>
      <c r="N408" t="s">
        <v>86</v>
      </c>
    </row>
    <row r="409" spans="1:14" x14ac:dyDescent="0.3">
      <c r="A409">
        <v>1043</v>
      </c>
      <c r="B409" s="13">
        <v>45141</v>
      </c>
      <c r="C409" t="s">
        <v>18</v>
      </c>
      <c r="D409" t="s">
        <v>13</v>
      </c>
      <c r="E409">
        <v>6601.89</v>
      </c>
      <c r="F409">
        <v>22</v>
      </c>
      <c r="G409" t="s">
        <v>28</v>
      </c>
      <c r="H409">
        <v>4260</v>
      </c>
      <c r="I409">
        <v>4656.58</v>
      </c>
      <c r="J409" t="s">
        <v>15</v>
      </c>
      <c r="K409">
        <v>0</v>
      </c>
      <c r="L409" t="s">
        <v>25</v>
      </c>
      <c r="M409" t="s">
        <v>29</v>
      </c>
      <c r="N409" t="s">
        <v>80</v>
      </c>
    </row>
    <row r="410" spans="1:14" x14ac:dyDescent="0.3">
      <c r="A410">
        <v>1048</v>
      </c>
      <c r="B410" s="13">
        <v>45219</v>
      </c>
      <c r="C410" t="s">
        <v>26</v>
      </c>
      <c r="D410" t="s">
        <v>27</v>
      </c>
      <c r="E410">
        <v>9688.52</v>
      </c>
      <c r="F410">
        <v>6</v>
      </c>
      <c r="G410" t="s">
        <v>28</v>
      </c>
      <c r="H410">
        <v>3717.3</v>
      </c>
      <c r="I410" s="14" t="s">
        <v>217</v>
      </c>
      <c r="J410" t="s">
        <v>15</v>
      </c>
      <c r="K410">
        <v>0.03</v>
      </c>
      <c r="L410" t="s">
        <v>25</v>
      </c>
      <c r="M410" t="s">
        <v>17</v>
      </c>
      <c r="N410" t="s">
        <v>63</v>
      </c>
    </row>
    <row r="411" spans="1:14" x14ac:dyDescent="0.3">
      <c r="A411">
        <v>1039</v>
      </c>
      <c r="B411" s="13">
        <v>45001</v>
      </c>
      <c r="C411" t="s">
        <v>12</v>
      </c>
      <c r="D411" t="s">
        <v>30</v>
      </c>
      <c r="E411">
        <v>6076.01</v>
      </c>
      <c r="F411">
        <v>35</v>
      </c>
      <c r="G411" t="s">
        <v>24</v>
      </c>
      <c r="H411">
        <v>2735.74</v>
      </c>
      <c r="I411" s="14" t="s">
        <v>216</v>
      </c>
      <c r="J411" t="s">
        <v>15</v>
      </c>
      <c r="K411">
        <v>0.1</v>
      </c>
      <c r="L411" t="s">
        <v>21</v>
      </c>
      <c r="M411" t="s">
        <v>17</v>
      </c>
      <c r="N411" t="s">
        <v>72</v>
      </c>
    </row>
    <row r="412" spans="1:14" x14ac:dyDescent="0.3">
      <c r="A412">
        <v>1093</v>
      </c>
      <c r="B412" s="13">
        <v>45252</v>
      </c>
      <c r="C412" t="s">
        <v>31</v>
      </c>
      <c r="D412" t="s">
        <v>30</v>
      </c>
      <c r="E412">
        <v>862.1</v>
      </c>
      <c r="F412">
        <v>22</v>
      </c>
      <c r="G412" t="s">
        <v>24</v>
      </c>
      <c r="H412">
        <v>3285.25</v>
      </c>
      <c r="I412">
        <v>3634.58</v>
      </c>
      <c r="J412" t="s">
        <v>15</v>
      </c>
      <c r="K412">
        <v>0.13</v>
      </c>
      <c r="L412" t="s">
        <v>25</v>
      </c>
      <c r="M412" t="s">
        <v>29</v>
      </c>
      <c r="N412" t="s">
        <v>62</v>
      </c>
    </row>
    <row r="413" spans="1:14" x14ac:dyDescent="0.3">
      <c r="A413">
        <v>1042</v>
      </c>
      <c r="B413" s="13">
        <v>45072</v>
      </c>
      <c r="C413" t="s">
        <v>23</v>
      </c>
      <c r="D413" t="s">
        <v>13</v>
      </c>
      <c r="E413">
        <v>848.28</v>
      </c>
      <c r="F413">
        <v>1</v>
      </c>
      <c r="G413" t="s">
        <v>28</v>
      </c>
      <c r="H413">
        <v>1406.24</v>
      </c>
      <c r="I413">
        <v>1535.57</v>
      </c>
      <c r="J413" t="s">
        <v>15</v>
      </c>
      <c r="K413">
        <v>0.08</v>
      </c>
      <c r="L413" t="s">
        <v>21</v>
      </c>
      <c r="M413" t="s">
        <v>17</v>
      </c>
      <c r="N413" t="s">
        <v>69</v>
      </c>
    </row>
    <row r="414" spans="1:14" x14ac:dyDescent="0.3">
      <c r="A414">
        <v>1026</v>
      </c>
      <c r="B414" s="13">
        <v>45054</v>
      </c>
      <c r="C414" t="s">
        <v>31</v>
      </c>
      <c r="D414" t="s">
        <v>19</v>
      </c>
      <c r="E414">
        <v>9519.09</v>
      </c>
      <c r="F414">
        <v>20</v>
      </c>
      <c r="G414" t="s">
        <v>14</v>
      </c>
      <c r="H414">
        <v>2985.63</v>
      </c>
      <c r="I414" s="14" t="s">
        <v>215</v>
      </c>
      <c r="J414" t="s">
        <v>15</v>
      </c>
      <c r="K414">
        <v>0.17</v>
      </c>
      <c r="L414" t="s">
        <v>21</v>
      </c>
      <c r="M414" t="s">
        <v>17</v>
      </c>
      <c r="N414" t="s">
        <v>88</v>
      </c>
    </row>
    <row r="415" spans="1:14" x14ac:dyDescent="0.3">
      <c r="A415">
        <v>1099</v>
      </c>
      <c r="B415" s="13">
        <v>45267</v>
      </c>
      <c r="C415" t="s">
        <v>23</v>
      </c>
      <c r="D415" t="s">
        <v>13</v>
      </c>
      <c r="E415">
        <v>3043.18</v>
      </c>
      <c r="F415">
        <v>22</v>
      </c>
      <c r="G415" t="s">
        <v>24</v>
      </c>
      <c r="H415">
        <v>2471.67</v>
      </c>
      <c r="I415">
        <v>2533.04</v>
      </c>
      <c r="J415" t="s">
        <v>20</v>
      </c>
      <c r="K415">
        <v>0.02</v>
      </c>
      <c r="L415" t="s">
        <v>25</v>
      </c>
      <c r="M415" t="s">
        <v>17</v>
      </c>
      <c r="N415" t="s">
        <v>69</v>
      </c>
    </row>
    <row r="416" spans="1:14" x14ac:dyDescent="0.3">
      <c r="A416">
        <v>1050</v>
      </c>
      <c r="B416" s="13">
        <v>44968</v>
      </c>
      <c r="C416" t="s">
        <v>31</v>
      </c>
      <c r="D416" t="s">
        <v>19</v>
      </c>
      <c r="E416">
        <v>1011.46</v>
      </c>
      <c r="F416">
        <v>48</v>
      </c>
      <c r="G416" t="s">
        <v>24</v>
      </c>
      <c r="H416">
        <v>710.06</v>
      </c>
      <c r="I416" s="14" t="s">
        <v>214</v>
      </c>
      <c r="J416" t="s">
        <v>20</v>
      </c>
      <c r="K416">
        <v>0.04</v>
      </c>
      <c r="L416" t="s">
        <v>25</v>
      </c>
      <c r="M416" t="s">
        <v>29</v>
      </c>
      <c r="N416" t="s">
        <v>88</v>
      </c>
    </row>
    <row r="417" spans="1:14" x14ac:dyDescent="0.3">
      <c r="A417">
        <v>1025</v>
      </c>
      <c r="B417" s="13">
        <v>45282</v>
      </c>
      <c r="C417" t="s">
        <v>23</v>
      </c>
      <c r="D417" t="s">
        <v>27</v>
      </c>
      <c r="E417">
        <v>6030.54</v>
      </c>
      <c r="F417">
        <v>11</v>
      </c>
      <c r="G417" t="s">
        <v>22</v>
      </c>
      <c r="H417">
        <v>1250.5899999999999</v>
      </c>
      <c r="I417" s="14" t="s">
        <v>213</v>
      </c>
      <c r="J417" t="s">
        <v>20</v>
      </c>
      <c r="K417">
        <v>0.21</v>
      </c>
      <c r="L417" t="s">
        <v>25</v>
      </c>
      <c r="M417" t="s">
        <v>17</v>
      </c>
      <c r="N417" t="s">
        <v>96</v>
      </c>
    </row>
    <row r="418" spans="1:14" x14ac:dyDescent="0.3">
      <c r="A418">
        <v>1024</v>
      </c>
      <c r="B418" s="13">
        <v>44967</v>
      </c>
      <c r="C418" t="s">
        <v>18</v>
      </c>
      <c r="D418" t="s">
        <v>13</v>
      </c>
      <c r="E418">
        <v>6274.12</v>
      </c>
      <c r="F418">
        <v>13</v>
      </c>
      <c r="G418" t="s">
        <v>14</v>
      </c>
      <c r="H418">
        <v>1493.88</v>
      </c>
      <c r="I418" s="14" t="s">
        <v>212</v>
      </c>
      <c r="J418" t="s">
        <v>15</v>
      </c>
      <c r="K418">
        <v>0.04</v>
      </c>
      <c r="L418" t="s">
        <v>16</v>
      </c>
      <c r="M418" t="s">
        <v>17</v>
      </c>
      <c r="N418" t="s">
        <v>80</v>
      </c>
    </row>
    <row r="419" spans="1:14" x14ac:dyDescent="0.3">
      <c r="A419">
        <v>1013</v>
      </c>
      <c r="B419" s="13">
        <v>44960</v>
      </c>
      <c r="C419" t="s">
        <v>23</v>
      </c>
      <c r="D419" t="s">
        <v>30</v>
      </c>
      <c r="E419">
        <v>6520.2</v>
      </c>
      <c r="F419">
        <v>42</v>
      </c>
      <c r="G419" t="s">
        <v>14</v>
      </c>
      <c r="H419">
        <v>4625.33</v>
      </c>
      <c r="I419">
        <v>4642.83</v>
      </c>
      <c r="J419" t="s">
        <v>15</v>
      </c>
      <c r="K419">
        <v>0.19</v>
      </c>
      <c r="L419" t="s">
        <v>21</v>
      </c>
      <c r="M419" t="s">
        <v>29</v>
      </c>
      <c r="N419" t="s">
        <v>60</v>
      </c>
    </row>
    <row r="420" spans="1:14" x14ac:dyDescent="0.3">
      <c r="A420">
        <v>1060</v>
      </c>
      <c r="B420" s="13">
        <v>44943</v>
      </c>
      <c r="C420" t="s">
        <v>23</v>
      </c>
      <c r="D420" t="s">
        <v>27</v>
      </c>
      <c r="E420">
        <v>2747.28</v>
      </c>
      <c r="F420">
        <v>3</v>
      </c>
      <c r="G420" t="s">
        <v>28</v>
      </c>
      <c r="H420">
        <v>1190.4100000000001</v>
      </c>
      <c r="I420">
        <v>1582.89</v>
      </c>
      <c r="J420" t="s">
        <v>15</v>
      </c>
      <c r="K420">
        <v>0.02</v>
      </c>
      <c r="L420" t="s">
        <v>21</v>
      </c>
      <c r="M420" t="s">
        <v>17</v>
      </c>
      <c r="N420" t="s">
        <v>96</v>
      </c>
    </row>
    <row r="421" spans="1:14" x14ac:dyDescent="0.3">
      <c r="A421">
        <v>1007</v>
      </c>
      <c r="B421" s="13">
        <v>45091</v>
      </c>
      <c r="C421" t="s">
        <v>26</v>
      </c>
      <c r="D421" t="s">
        <v>30</v>
      </c>
      <c r="E421">
        <v>249.6</v>
      </c>
      <c r="F421">
        <v>9</v>
      </c>
      <c r="G421" t="s">
        <v>14</v>
      </c>
      <c r="H421">
        <v>1481.76</v>
      </c>
      <c r="I421">
        <v>1668.95</v>
      </c>
      <c r="J421" t="s">
        <v>20</v>
      </c>
      <c r="K421">
        <v>0.12</v>
      </c>
      <c r="L421" t="s">
        <v>21</v>
      </c>
      <c r="M421" t="s">
        <v>17</v>
      </c>
      <c r="N421" t="s">
        <v>71</v>
      </c>
    </row>
    <row r="422" spans="1:14" x14ac:dyDescent="0.3">
      <c r="A422">
        <v>1057</v>
      </c>
      <c r="B422" s="13">
        <v>45079</v>
      </c>
      <c r="C422" t="s">
        <v>23</v>
      </c>
      <c r="D422" t="s">
        <v>27</v>
      </c>
      <c r="E422">
        <v>9653.65</v>
      </c>
      <c r="F422">
        <v>12</v>
      </c>
      <c r="G422" t="s">
        <v>28</v>
      </c>
      <c r="H422">
        <v>1878.3</v>
      </c>
      <c r="I422">
        <v>2087.4499999999998</v>
      </c>
      <c r="J422" t="s">
        <v>15</v>
      </c>
      <c r="K422">
        <v>0.05</v>
      </c>
      <c r="L422" t="s">
        <v>25</v>
      </c>
      <c r="M422" t="s">
        <v>17</v>
      </c>
      <c r="N422" t="s">
        <v>96</v>
      </c>
    </row>
    <row r="423" spans="1:14" x14ac:dyDescent="0.3">
      <c r="A423">
        <v>1036</v>
      </c>
      <c r="B423" s="13">
        <v>45002</v>
      </c>
      <c r="C423" t="s">
        <v>26</v>
      </c>
      <c r="D423" t="s">
        <v>13</v>
      </c>
      <c r="E423">
        <v>2583.84</v>
      </c>
      <c r="F423">
        <v>23</v>
      </c>
      <c r="G423" t="s">
        <v>22</v>
      </c>
      <c r="H423">
        <v>3335.53</v>
      </c>
      <c r="I423" s="14" t="s">
        <v>211</v>
      </c>
      <c r="J423" t="s">
        <v>15</v>
      </c>
      <c r="K423">
        <v>0.03</v>
      </c>
      <c r="L423" t="s">
        <v>25</v>
      </c>
      <c r="M423" t="s">
        <v>17</v>
      </c>
      <c r="N423" t="s">
        <v>55</v>
      </c>
    </row>
    <row r="424" spans="1:14" x14ac:dyDescent="0.3">
      <c r="A424">
        <v>1045</v>
      </c>
      <c r="B424" s="13">
        <v>45013</v>
      </c>
      <c r="C424" t="s">
        <v>12</v>
      </c>
      <c r="D424" t="s">
        <v>19</v>
      </c>
      <c r="E424">
        <v>6792.66</v>
      </c>
      <c r="F424">
        <v>14</v>
      </c>
      <c r="G424" t="s">
        <v>14</v>
      </c>
      <c r="H424">
        <v>635.28</v>
      </c>
      <c r="I424">
        <v>831.13</v>
      </c>
      <c r="J424" t="s">
        <v>20</v>
      </c>
      <c r="K424">
        <v>0.17</v>
      </c>
      <c r="L424" t="s">
        <v>25</v>
      </c>
      <c r="M424" t="s">
        <v>17</v>
      </c>
      <c r="N424" t="s">
        <v>74</v>
      </c>
    </row>
    <row r="425" spans="1:14" x14ac:dyDescent="0.3">
      <c r="A425">
        <v>1020</v>
      </c>
      <c r="B425" s="13">
        <v>45043</v>
      </c>
      <c r="C425" t="s">
        <v>26</v>
      </c>
      <c r="D425" t="s">
        <v>27</v>
      </c>
      <c r="E425">
        <v>7095.64</v>
      </c>
      <c r="F425">
        <v>33</v>
      </c>
      <c r="G425" t="s">
        <v>24</v>
      </c>
      <c r="H425">
        <v>4772.03</v>
      </c>
      <c r="I425">
        <v>4805.17</v>
      </c>
      <c r="J425" t="s">
        <v>20</v>
      </c>
      <c r="K425">
        <v>0.28000000000000003</v>
      </c>
      <c r="L425" t="s">
        <v>25</v>
      </c>
      <c r="M425" t="s">
        <v>29</v>
      </c>
      <c r="N425" t="s">
        <v>63</v>
      </c>
    </row>
    <row r="426" spans="1:14" x14ac:dyDescent="0.3">
      <c r="A426">
        <v>1065</v>
      </c>
      <c r="B426" s="13">
        <v>45288</v>
      </c>
      <c r="C426" t="s">
        <v>18</v>
      </c>
      <c r="D426" t="s">
        <v>19</v>
      </c>
      <c r="E426">
        <v>6139.07</v>
      </c>
      <c r="F426">
        <v>18</v>
      </c>
      <c r="G426" t="s">
        <v>22</v>
      </c>
      <c r="H426">
        <v>4334.58</v>
      </c>
      <c r="I426">
        <v>4431.04</v>
      </c>
      <c r="J426" t="s">
        <v>15</v>
      </c>
      <c r="K426">
        <v>0.02</v>
      </c>
      <c r="L426" t="s">
        <v>25</v>
      </c>
      <c r="M426" t="s">
        <v>17</v>
      </c>
      <c r="N426" t="s">
        <v>56</v>
      </c>
    </row>
    <row r="427" spans="1:14" x14ac:dyDescent="0.3">
      <c r="A427">
        <v>1008</v>
      </c>
      <c r="B427" s="13">
        <v>45268</v>
      </c>
      <c r="C427" t="s">
        <v>26</v>
      </c>
      <c r="D427" t="s">
        <v>27</v>
      </c>
      <c r="E427">
        <v>3197.78</v>
      </c>
      <c r="F427">
        <v>49</v>
      </c>
      <c r="G427" t="s">
        <v>28</v>
      </c>
      <c r="H427">
        <v>2907.22</v>
      </c>
      <c r="I427" s="14" t="s">
        <v>210</v>
      </c>
      <c r="J427" t="s">
        <v>15</v>
      </c>
      <c r="K427">
        <v>0.13</v>
      </c>
      <c r="L427" t="s">
        <v>16</v>
      </c>
      <c r="M427" t="s">
        <v>29</v>
      </c>
      <c r="N427" t="s">
        <v>63</v>
      </c>
    </row>
    <row r="428" spans="1:14" x14ac:dyDescent="0.3">
      <c r="A428">
        <v>1016</v>
      </c>
      <c r="B428" s="13">
        <v>44953</v>
      </c>
      <c r="C428" t="s">
        <v>12</v>
      </c>
      <c r="D428" t="s">
        <v>30</v>
      </c>
      <c r="E428">
        <v>2783.85</v>
      </c>
      <c r="F428">
        <v>41</v>
      </c>
      <c r="G428" t="s">
        <v>22</v>
      </c>
      <c r="H428">
        <v>3386.49</v>
      </c>
      <c r="I428">
        <v>3430.99</v>
      </c>
      <c r="J428" t="s">
        <v>15</v>
      </c>
      <c r="K428">
        <v>0.21</v>
      </c>
      <c r="L428" t="s">
        <v>25</v>
      </c>
      <c r="M428" t="s">
        <v>17</v>
      </c>
      <c r="N428" t="s">
        <v>72</v>
      </c>
    </row>
    <row r="429" spans="1:14" x14ac:dyDescent="0.3">
      <c r="A429">
        <v>1014</v>
      </c>
      <c r="B429" s="13">
        <v>45239</v>
      </c>
      <c r="C429" t="s">
        <v>18</v>
      </c>
      <c r="D429" t="s">
        <v>30</v>
      </c>
      <c r="E429">
        <v>6016.92</v>
      </c>
      <c r="F429">
        <v>9</v>
      </c>
      <c r="G429" t="s">
        <v>28</v>
      </c>
      <c r="H429">
        <v>132.47</v>
      </c>
      <c r="I429">
        <v>316.39</v>
      </c>
      <c r="J429" t="s">
        <v>15</v>
      </c>
      <c r="K429">
        <v>0.14000000000000001</v>
      </c>
      <c r="L429" t="s">
        <v>21</v>
      </c>
      <c r="M429" t="s">
        <v>29</v>
      </c>
      <c r="N429" t="s">
        <v>64</v>
      </c>
    </row>
    <row r="430" spans="1:14" x14ac:dyDescent="0.3">
      <c r="A430">
        <v>1076</v>
      </c>
      <c r="B430" s="13">
        <v>45213</v>
      </c>
      <c r="C430" t="s">
        <v>31</v>
      </c>
      <c r="D430" t="s">
        <v>27</v>
      </c>
      <c r="E430">
        <v>8674.35</v>
      </c>
      <c r="F430">
        <v>23</v>
      </c>
      <c r="G430" t="s">
        <v>22</v>
      </c>
      <c r="H430">
        <v>1727.78</v>
      </c>
      <c r="I430">
        <v>1984.34</v>
      </c>
      <c r="J430" t="s">
        <v>20</v>
      </c>
      <c r="K430">
        <v>0.24</v>
      </c>
      <c r="L430" t="s">
        <v>25</v>
      </c>
      <c r="M430" t="s">
        <v>29</v>
      </c>
      <c r="N430" t="s">
        <v>86</v>
      </c>
    </row>
    <row r="431" spans="1:14" x14ac:dyDescent="0.3">
      <c r="A431">
        <v>1087</v>
      </c>
      <c r="B431" s="13">
        <v>45060</v>
      </c>
      <c r="C431" t="s">
        <v>31</v>
      </c>
      <c r="D431" t="s">
        <v>19</v>
      </c>
      <c r="E431">
        <v>9472.66</v>
      </c>
      <c r="F431">
        <v>10</v>
      </c>
      <c r="G431" t="s">
        <v>28</v>
      </c>
      <c r="H431">
        <v>3988.52</v>
      </c>
      <c r="I431">
        <v>4240.2299999999996</v>
      </c>
      <c r="J431" t="s">
        <v>15</v>
      </c>
      <c r="K431">
        <v>0.05</v>
      </c>
      <c r="L431" t="s">
        <v>21</v>
      </c>
      <c r="M431" t="s">
        <v>29</v>
      </c>
      <c r="N431" t="s">
        <v>88</v>
      </c>
    </row>
    <row r="432" spans="1:14" x14ac:dyDescent="0.3">
      <c r="A432">
        <v>1015</v>
      </c>
      <c r="B432" s="13">
        <v>45145</v>
      </c>
      <c r="C432" t="s">
        <v>26</v>
      </c>
      <c r="D432" t="s">
        <v>13</v>
      </c>
      <c r="E432">
        <v>1148.47</v>
      </c>
      <c r="F432">
        <v>19</v>
      </c>
      <c r="G432" t="s">
        <v>14</v>
      </c>
      <c r="H432">
        <v>433.54</v>
      </c>
      <c r="I432">
        <v>445.48</v>
      </c>
      <c r="J432" t="s">
        <v>15</v>
      </c>
      <c r="K432">
        <v>0.28999999999999998</v>
      </c>
      <c r="L432" t="s">
        <v>25</v>
      </c>
      <c r="M432" t="s">
        <v>17</v>
      </c>
      <c r="N432" t="s">
        <v>55</v>
      </c>
    </row>
    <row r="433" spans="1:14" x14ac:dyDescent="0.3">
      <c r="A433">
        <v>1092</v>
      </c>
      <c r="B433" s="13">
        <v>45094</v>
      </c>
      <c r="C433" t="s">
        <v>26</v>
      </c>
      <c r="D433" t="s">
        <v>13</v>
      </c>
      <c r="E433">
        <v>1632.8</v>
      </c>
      <c r="F433">
        <v>47</v>
      </c>
      <c r="G433" t="s">
        <v>24</v>
      </c>
      <c r="H433">
        <v>1447.45</v>
      </c>
      <c r="I433">
        <v>1703.02</v>
      </c>
      <c r="J433" t="s">
        <v>20</v>
      </c>
      <c r="K433">
        <v>0.12</v>
      </c>
      <c r="L433" t="s">
        <v>25</v>
      </c>
      <c r="M433" t="s">
        <v>17</v>
      </c>
      <c r="N433" t="s">
        <v>55</v>
      </c>
    </row>
    <row r="434" spans="1:14" x14ac:dyDescent="0.3">
      <c r="A434">
        <v>1098</v>
      </c>
      <c r="B434" s="13">
        <v>45024</v>
      </c>
      <c r="C434" t="s">
        <v>12</v>
      </c>
      <c r="D434" t="s">
        <v>30</v>
      </c>
      <c r="E434">
        <v>9452.89</v>
      </c>
      <c r="F434">
        <v>5</v>
      </c>
      <c r="G434" t="s">
        <v>28</v>
      </c>
      <c r="H434">
        <v>2947.22</v>
      </c>
      <c r="I434">
        <v>3145.27</v>
      </c>
      <c r="J434" t="s">
        <v>15</v>
      </c>
      <c r="K434">
        <v>0.1</v>
      </c>
      <c r="L434" t="s">
        <v>21</v>
      </c>
      <c r="M434" t="s">
        <v>17</v>
      </c>
      <c r="N434" t="s">
        <v>72</v>
      </c>
    </row>
    <row r="435" spans="1:14" x14ac:dyDescent="0.3">
      <c r="A435">
        <v>1066</v>
      </c>
      <c r="B435" s="13">
        <v>45194</v>
      </c>
      <c r="C435" t="s">
        <v>12</v>
      </c>
      <c r="D435" t="s">
        <v>13</v>
      </c>
      <c r="E435">
        <v>7391.7</v>
      </c>
      <c r="F435">
        <v>47</v>
      </c>
      <c r="G435" t="s">
        <v>22</v>
      </c>
      <c r="H435">
        <v>1319.24</v>
      </c>
      <c r="I435">
        <v>1805.56</v>
      </c>
      <c r="J435" t="s">
        <v>15</v>
      </c>
      <c r="K435">
        <v>0.26</v>
      </c>
      <c r="L435" t="s">
        <v>21</v>
      </c>
      <c r="M435" t="s">
        <v>17</v>
      </c>
      <c r="N435" t="s">
        <v>83</v>
      </c>
    </row>
    <row r="436" spans="1:14" x14ac:dyDescent="0.3">
      <c r="A436">
        <v>1032</v>
      </c>
      <c r="B436" s="13">
        <v>45163</v>
      </c>
      <c r="C436" t="s">
        <v>23</v>
      </c>
      <c r="D436" t="s">
        <v>30</v>
      </c>
      <c r="E436">
        <v>8841.64</v>
      </c>
      <c r="F436">
        <v>23</v>
      </c>
      <c r="G436" t="s">
        <v>28</v>
      </c>
      <c r="H436">
        <v>4673.1899999999996</v>
      </c>
      <c r="I436" s="14" t="s">
        <v>209</v>
      </c>
      <c r="J436" t="s">
        <v>20</v>
      </c>
      <c r="K436">
        <v>0.17</v>
      </c>
      <c r="L436" t="s">
        <v>21</v>
      </c>
      <c r="M436" t="s">
        <v>17</v>
      </c>
      <c r="N436" t="s">
        <v>60</v>
      </c>
    </row>
    <row r="437" spans="1:14" x14ac:dyDescent="0.3">
      <c r="A437">
        <v>1087</v>
      </c>
      <c r="B437" s="13">
        <v>45235</v>
      </c>
      <c r="C437" t="s">
        <v>12</v>
      </c>
      <c r="D437" t="s">
        <v>13</v>
      </c>
      <c r="E437">
        <v>2106.06</v>
      </c>
      <c r="F437">
        <v>30</v>
      </c>
      <c r="G437" t="s">
        <v>28</v>
      </c>
      <c r="H437">
        <v>698.74</v>
      </c>
      <c r="I437">
        <v>882.28</v>
      </c>
      <c r="J437" t="s">
        <v>20</v>
      </c>
      <c r="K437">
        <v>0.15</v>
      </c>
      <c r="L437" t="s">
        <v>21</v>
      </c>
      <c r="M437" t="s">
        <v>29</v>
      </c>
      <c r="N437" t="s">
        <v>83</v>
      </c>
    </row>
    <row r="438" spans="1:14" x14ac:dyDescent="0.3">
      <c r="A438">
        <v>1063</v>
      </c>
      <c r="B438" s="13">
        <v>45099</v>
      </c>
      <c r="C438" t="s">
        <v>23</v>
      </c>
      <c r="D438" t="s">
        <v>27</v>
      </c>
      <c r="E438">
        <v>5917.1</v>
      </c>
      <c r="F438">
        <v>25</v>
      </c>
      <c r="G438" t="s">
        <v>28</v>
      </c>
      <c r="H438">
        <v>3997.1</v>
      </c>
      <c r="I438">
        <v>4212.6499999999996</v>
      </c>
      <c r="J438" t="s">
        <v>15</v>
      </c>
      <c r="K438">
        <v>0.22</v>
      </c>
      <c r="L438" t="s">
        <v>16</v>
      </c>
      <c r="M438" t="s">
        <v>29</v>
      </c>
      <c r="N438" t="s">
        <v>96</v>
      </c>
    </row>
    <row r="439" spans="1:14" x14ac:dyDescent="0.3">
      <c r="A439">
        <v>1086</v>
      </c>
      <c r="B439" s="13">
        <v>45116</v>
      </c>
      <c r="C439" t="s">
        <v>18</v>
      </c>
      <c r="D439" t="s">
        <v>30</v>
      </c>
      <c r="E439">
        <v>7041.28</v>
      </c>
      <c r="F439">
        <v>28</v>
      </c>
      <c r="G439" t="s">
        <v>22</v>
      </c>
      <c r="H439">
        <v>2564.35</v>
      </c>
      <c r="I439">
        <v>2765.79</v>
      </c>
      <c r="J439" t="s">
        <v>20</v>
      </c>
      <c r="K439">
        <v>0.17</v>
      </c>
      <c r="L439" t="s">
        <v>21</v>
      </c>
      <c r="M439" t="s">
        <v>29</v>
      </c>
      <c r="N439" t="s">
        <v>64</v>
      </c>
    </row>
    <row r="440" spans="1:14" x14ac:dyDescent="0.3">
      <c r="A440">
        <v>1051</v>
      </c>
      <c r="B440" s="13">
        <v>45048</v>
      </c>
      <c r="C440" t="s">
        <v>26</v>
      </c>
      <c r="D440" t="s">
        <v>30</v>
      </c>
      <c r="E440">
        <v>6833.11</v>
      </c>
      <c r="F440">
        <v>34</v>
      </c>
      <c r="G440" t="s">
        <v>24</v>
      </c>
      <c r="H440">
        <v>3764.14</v>
      </c>
      <c r="I440">
        <v>4100.3999999999996</v>
      </c>
      <c r="J440" t="s">
        <v>20</v>
      </c>
      <c r="K440">
        <v>0.05</v>
      </c>
      <c r="L440" t="s">
        <v>25</v>
      </c>
      <c r="M440" t="s">
        <v>17</v>
      </c>
      <c r="N440" t="s">
        <v>71</v>
      </c>
    </row>
    <row r="441" spans="1:14" x14ac:dyDescent="0.3">
      <c r="A441">
        <v>1025</v>
      </c>
      <c r="B441" s="13">
        <v>44972</v>
      </c>
      <c r="C441" t="s">
        <v>18</v>
      </c>
      <c r="D441" t="s">
        <v>27</v>
      </c>
      <c r="E441">
        <v>4140.7</v>
      </c>
      <c r="F441">
        <v>45</v>
      </c>
      <c r="G441" t="s">
        <v>14</v>
      </c>
      <c r="H441">
        <v>1588.04</v>
      </c>
      <c r="I441" s="14" t="s">
        <v>208</v>
      </c>
      <c r="J441" t="s">
        <v>15</v>
      </c>
      <c r="K441">
        <v>0.2</v>
      </c>
      <c r="L441" t="s">
        <v>25</v>
      </c>
      <c r="M441" t="s">
        <v>17</v>
      </c>
      <c r="N441" t="s">
        <v>58</v>
      </c>
    </row>
    <row r="442" spans="1:14" x14ac:dyDescent="0.3">
      <c r="A442">
        <v>1058</v>
      </c>
      <c r="B442" s="13">
        <v>44990</v>
      </c>
      <c r="C442" t="s">
        <v>12</v>
      </c>
      <c r="D442" t="s">
        <v>30</v>
      </c>
      <c r="E442">
        <v>252.41</v>
      </c>
      <c r="F442">
        <v>48</v>
      </c>
      <c r="G442" t="s">
        <v>24</v>
      </c>
      <c r="H442">
        <v>2596.7199999999998</v>
      </c>
      <c r="I442" s="14" t="s">
        <v>207</v>
      </c>
      <c r="J442" t="s">
        <v>20</v>
      </c>
      <c r="K442">
        <v>0.04</v>
      </c>
      <c r="L442" t="s">
        <v>16</v>
      </c>
      <c r="M442" t="s">
        <v>29</v>
      </c>
      <c r="N442" t="s">
        <v>72</v>
      </c>
    </row>
    <row r="443" spans="1:14" x14ac:dyDescent="0.3">
      <c r="A443">
        <v>1063</v>
      </c>
      <c r="B443" s="13">
        <v>45056</v>
      </c>
      <c r="C443" t="s">
        <v>18</v>
      </c>
      <c r="D443" t="s">
        <v>13</v>
      </c>
      <c r="E443">
        <v>5870.97</v>
      </c>
      <c r="F443">
        <v>47</v>
      </c>
      <c r="G443" t="s">
        <v>28</v>
      </c>
      <c r="H443">
        <v>4291.33</v>
      </c>
      <c r="I443">
        <v>4658.6400000000003</v>
      </c>
      <c r="J443" t="s">
        <v>15</v>
      </c>
      <c r="K443">
        <v>0.24</v>
      </c>
      <c r="L443" t="s">
        <v>21</v>
      </c>
      <c r="M443" t="s">
        <v>17</v>
      </c>
      <c r="N443" t="s">
        <v>80</v>
      </c>
    </row>
    <row r="444" spans="1:14" x14ac:dyDescent="0.3">
      <c r="A444">
        <v>1062</v>
      </c>
      <c r="B444" s="13">
        <v>45236</v>
      </c>
      <c r="C444" t="s">
        <v>18</v>
      </c>
      <c r="D444" t="s">
        <v>13</v>
      </c>
      <c r="E444">
        <v>2605.71</v>
      </c>
      <c r="F444">
        <v>25</v>
      </c>
      <c r="G444" t="s">
        <v>22</v>
      </c>
      <c r="H444">
        <v>2361.0500000000002</v>
      </c>
      <c r="I444">
        <v>2616.19</v>
      </c>
      <c r="J444" t="s">
        <v>15</v>
      </c>
      <c r="K444">
        <v>0.3</v>
      </c>
      <c r="L444" t="s">
        <v>25</v>
      </c>
      <c r="M444" t="s">
        <v>17</v>
      </c>
      <c r="N444" t="s">
        <v>80</v>
      </c>
    </row>
    <row r="445" spans="1:14" x14ac:dyDescent="0.3">
      <c r="A445">
        <v>1022</v>
      </c>
      <c r="B445" s="13">
        <v>45289</v>
      </c>
      <c r="C445" t="s">
        <v>18</v>
      </c>
      <c r="D445" t="s">
        <v>30</v>
      </c>
      <c r="E445">
        <v>4557.5200000000004</v>
      </c>
      <c r="F445">
        <v>10</v>
      </c>
      <c r="G445" t="s">
        <v>24</v>
      </c>
      <c r="H445">
        <v>1830.61</v>
      </c>
      <c r="I445">
        <v>2044.04</v>
      </c>
      <c r="J445" t="s">
        <v>15</v>
      </c>
      <c r="K445">
        <v>0.11</v>
      </c>
      <c r="L445" t="s">
        <v>16</v>
      </c>
      <c r="M445" t="s">
        <v>29</v>
      </c>
      <c r="N445" t="s">
        <v>64</v>
      </c>
    </row>
    <row r="446" spans="1:14" x14ac:dyDescent="0.3">
      <c r="A446">
        <v>1058</v>
      </c>
      <c r="B446" s="13">
        <v>45119</v>
      </c>
      <c r="C446" t="s">
        <v>12</v>
      </c>
      <c r="D446" t="s">
        <v>13</v>
      </c>
      <c r="E446">
        <v>9580.0499999999993</v>
      </c>
      <c r="F446">
        <v>14</v>
      </c>
      <c r="G446" t="s">
        <v>28</v>
      </c>
      <c r="H446">
        <v>2703.97</v>
      </c>
      <c r="I446" s="14" t="s">
        <v>206</v>
      </c>
      <c r="J446" t="s">
        <v>15</v>
      </c>
      <c r="K446">
        <v>0.13</v>
      </c>
      <c r="L446" t="s">
        <v>25</v>
      </c>
      <c r="M446" t="s">
        <v>29</v>
      </c>
      <c r="N446" t="s">
        <v>83</v>
      </c>
    </row>
    <row r="447" spans="1:14" x14ac:dyDescent="0.3">
      <c r="A447">
        <v>1058</v>
      </c>
      <c r="B447" s="13">
        <v>45233</v>
      </c>
      <c r="C447" t="s">
        <v>18</v>
      </c>
      <c r="D447" t="s">
        <v>19</v>
      </c>
      <c r="E447">
        <v>4050.45</v>
      </c>
      <c r="F447">
        <v>42</v>
      </c>
      <c r="G447" t="s">
        <v>14</v>
      </c>
      <c r="H447">
        <v>3600.95</v>
      </c>
      <c r="I447" s="14" t="s">
        <v>205</v>
      </c>
      <c r="J447" t="s">
        <v>20</v>
      </c>
      <c r="K447">
        <v>0.01</v>
      </c>
      <c r="L447" t="s">
        <v>16</v>
      </c>
      <c r="M447" t="s">
        <v>17</v>
      </c>
      <c r="N447" t="s">
        <v>56</v>
      </c>
    </row>
    <row r="448" spans="1:14" x14ac:dyDescent="0.3">
      <c r="A448">
        <v>1086</v>
      </c>
      <c r="B448" s="13">
        <v>45107</v>
      </c>
      <c r="C448" t="s">
        <v>23</v>
      </c>
      <c r="D448" t="s">
        <v>30</v>
      </c>
      <c r="E448">
        <v>8414.0400000000009</v>
      </c>
      <c r="F448">
        <v>46</v>
      </c>
      <c r="G448" t="s">
        <v>14</v>
      </c>
      <c r="H448">
        <v>2245.64</v>
      </c>
      <c r="I448">
        <v>2260.81</v>
      </c>
      <c r="J448" t="s">
        <v>15</v>
      </c>
      <c r="K448">
        <v>0</v>
      </c>
      <c r="L448" t="s">
        <v>16</v>
      </c>
      <c r="M448" t="s">
        <v>17</v>
      </c>
      <c r="N448" t="s">
        <v>60</v>
      </c>
    </row>
    <row r="449" spans="1:14" x14ac:dyDescent="0.3">
      <c r="A449">
        <v>1049</v>
      </c>
      <c r="B449" s="13">
        <v>45218</v>
      </c>
      <c r="C449" t="s">
        <v>12</v>
      </c>
      <c r="D449" t="s">
        <v>27</v>
      </c>
      <c r="E449">
        <v>1966.55</v>
      </c>
      <c r="F449">
        <v>30</v>
      </c>
      <c r="G449" t="s">
        <v>14</v>
      </c>
      <c r="H449">
        <v>4697.4399999999996</v>
      </c>
      <c r="I449">
        <v>4752.24</v>
      </c>
      <c r="J449" t="s">
        <v>15</v>
      </c>
      <c r="K449">
        <v>0.28000000000000003</v>
      </c>
      <c r="L449" t="s">
        <v>21</v>
      </c>
      <c r="M449" t="s">
        <v>29</v>
      </c>
      <c r="N449" t="s">
        <v>100</v>
      </c>
    </row>
    <row r="450" spans="1:14" x14ac:dyDescent="0.3">
      <c r="A450">
        <v>1052</v>
      </c>
      <c r="B450" s="13">
        <v>45208</v>
      </c>
      <c r="C450" t="s">
        <v>18</v>
      </c>
      <c r="D450" t="s">
        <v>19</v>
      </c>
      <c r="E450">
        <v>6757.36</v>
      </c>
      <c r="F450">
        <v>41</v>
      </c>
      <c r="G450" t="s">
        <v>28</v>
      </c>
      <c r="H450">
        <v>1509.98</v>
      </c>
      <c r="I450">
        <v>1792.83</v>
      </c>
      <c r="J450" t="s">
        <v>15</v>
      </c>
      <c r="K450">
        <v>0.04</v>
      </c>
      <c r="L450" t="s">
        <v>16</v>
      </c>
      <c r="M450" t="s">
        <v>17</v>
      </c>
      <c r="N450" t="s">
        <v>56</v>
      </c>
    </row>
    <row r="451" spans="1:14" x14ac:dyDescent="0.3">
      <c r="A451">
        <v>1042</v>
      </c>
      <c r="B451" s="13">
        <v>44955</v>
      </c>
      <c r="C451" t="s">
        <v>12</v>
      </c>
      <c r="D451" t="s">
        <v>30</v>
      </c>
      <c r="E451">
        <v>9772.3700000000008</v>
      </c>
      <c r="F451">
        <v>25</v>
      </c>
      <c r="G451" t="s">
        <v>22</v>
      </c>
      <c r="H451">
        <v>2403.54</v>
      </c>
      <c r="I451">
        <v>2850.56</v>
      </c>
      <c r="J451" t="s">
        <v>15</v>
      </c>
      <c r="K451">
        <v>0.13</v>
      </c>
      <c r="L451" t="s">
        <v>25</v>
      </c>
      <c r="M451" t="s">
        <v>29</v>
      </c>
      <c r="N451" t="s">
        <v>72</v>
      </c>
    </row>
    <row r="452" spans="1:14" x14ac:dyDescent="0.3">
      <c r="A452">
        <v>1070</v>
      </c>
      <c r="B452" s="13">
        <v>45075</v>
      </c>
      <c r="C452" t="s">
        <v>31</v>
      </c>
      <c r="D452" t="s">
        <v>27</v>
      </c>
      <c r="E452">
        <v>1108.74</v>
      </c>
      <c r="F452">
        <v>14</v>
      </c>
      <c r="G452" t="s">
        <v>24</v>
      </c>
      <c r="H452">
        <v>3796.79</v>
      </c>
      <c r="I452">
        <v>3947.5</v>
      </c>
      <c r="J452" t="s">
        <v>20</v>
      </c>
      <c r="K452">
        <v>0.24</v>
      </c>
      <c r="L452" t="s">
        <v>25</v>
      </c>
      <c r="M452" t="s">
        <v>29</v>
      </c>
      <c r="N452" t="s">
        <v>86</v>
      </c>
    </row>
    <row r="453" spans="1:14" x14ac:dyDescent="0.3">
      <c r="A453">
        <v>1015</v>
      </c>
      <c r="B453" s="13">
        <v>45193</v>
      </c>
      <c r="C453" t="s">
        <v>23</v>
      </c>
      <c r="D453" t="s">
        <v>13</v>
      </c>
      <c r="E453">
        <v>182.37</v>
      </c>
      <c r="F453">
        <v>35</v>
      </c>
      <c r="G453" t="s">
        <v>14</v>
      </c>
      <c r="H453">
        <v>3461.15</v>
      </c>
      <c r="I453">
        <v>3631.75</v>
      </c>
      <c r="J453" t="s">
        <v>20</v>
      </c>
      <c r="K453">
        <v>0.27</v>
      </c>
      <c r="L453" t="s">
        <v>21</v>
      </c>
      <c r="M453" t="s">
        <v>29</v>
      </c>
      <c r="N453" t="s">
        <v>69</v>
      </c>
    </row>
    <row r="454" spans="1:14" x14ac:dyDescent="0.3">
      <c r="A454">
        <v>1054</v>
      </c>
      <c r="B454" s="13">
        <v>45222</v>
      </c>
      <c r="C454" t="s">
        <v>18</v>
      </c>
      <c r="D454" t="s">
        <v>27</v>
      </c>
      <c r="E454">
        <v>4392.47</v>
      </c>
      <c r="F454">
        <v>48</v>
      </c>
      <c r="G454" t="s">
        <v>28</v>
      </c>
      <c r="H454">
        <v>4325.0200000000004</v>
      </c>
      <c r="I454">
        <v>4391.67</v>
      </c>
      <c r="J454" t="s">
        <v>20</v>
      </c>
      <c r="K454">
        <v>0.16</v>
      </c>
      <c r="L454" t="s">
        <v>21</v>
      </c>
      <c r="M454" t="s">
        <v>17</v>
      </c>
      <c r="N454" t="s">
        <v>58</v>
      </c>
    </row>
    <row r="455" spans="1:14" x14ac:dyDescent="0.3">
      <c r="A455">
        <v>1060</v>
      </c>
      <c r="B455" s="13">
        <v>44937</v>
      </c>
      <c r="C455" t="s">
        <v>31</v>
      </c>
      <c r="D455" t="s">
        <v>19</v>
      </c>
      <c r="E455">
        <v>1016.99</v>
      </c>
      <c r="F455">
        <v>34</v>
      </c>
      <c r="G455" t="s">
        <v>28</v>
      </c>
      <c r="H455">
        <v>4984.21</v>
      </c>
      <c r="I455">
        <v>5184.6400000000003</v>
      </c>
      <c r="J455" t="s">
        <v>15</v>
      </c>
      <c r="K455">
        <v>0.17</v>
      </c>
      <c r="L455" t="s">
        <v>16</v>
      </c>
      <c r="M455" t="s">
        <v>29</v>
      </c>
      <c r="N455" t="s">
        <v>88</v>
      </c>
    </row>
    <row r="456" spans="1:14" x14ac:dyDescent="0.3">
      <c r="A456">
        <v>1097</v>
      </c>
      <c r="B456" s="13">
        <v>45090</v>
      </c>
      <c r="C456" t="s">
        <v>31</v>
      </c>
      <c r="D456" t="s">
        <v>13</v>
      </c>
      <c r="E456">
        <v>7509.01</v>
      </c>
      <c r="F456">
        <v>10</v>
      </c>
      <c r="G456" t="s">
        <v>24</v>
      </c>
      <c r="H456">
        <v>2162.9499999999998</v>
      </c>
      <c r="I456" s="14" t="s">
        <v>204</v>
      </c>
      <c r="J456" t="s">
        <v>20</v>
      </c>
      <c r="K456">
        <v>0.2</v>
      </c>
      <c r="L456" t="s">
        <v>21</v>
      </c>
      <c r="M456" t="s">
        <v>29</v>
      </c>
      <c r="N456" t="s">
        <v>67</v>
      </c>
    </row>
    <row r="457" spans="1:14" x14ac:dyDescent="0.3">
      <c r="A457">
        <v>1008</v>
      </c>
      <c r="B457" s="13">
        <v>45039</v>
      </c>
      <c r="C457" t="s">
        <v>12</v>
      </c>
      <c r="D457" t="s">
        <v>30</v>
      </c>
      <c r="E457">
        <v>9154.0300000000007</v>
      </c>
      <c r="F457">
        <v>35</v>
      </c>
      <c r="G457" t="s">
        <v>14</v>
      </c>
      <c r="H457">
        <v>600.20000000000005</v>
      </c>
      <c r="I457" s="14" t="s">
        <v>203</v>
      </c>
      <c r="J457" t="s">
        <v>20</v>
      </c>
      <c r="K457">
        <v>0.28999999999999998</v>
      </c>
      <c r="L457" t="s">
        <v>25</v>
      </c>
      <c r="M457" t="s">
        <v>17</v>
      </c>
      <c r="N457" t="s">
        <v>72</v>
      </c>
    </row>
    <row r="458" spans="1:14" x14ac:dyDescent="0.3">
      <c r="A458">
        <v>1053</v>
      </c>
      <c r="B458" s="13">
        <v>45113</v>
      </c>
      <c r="C458" t="s">
        <v>31</v>
      </c>
      <c r="D458" t="s">
        <v>13</v>
      </c>
      <c r="E458">
        <v>4396.8100000000004</v>
      </c>
      <c r="F458">
        <v>11</v>
      </c>
      <c r="G458" t="s">
        <v>28</v>
      </c>
      <c r="H458">
        <v>200.56</v>
      </c>
      <c r="I458">
        <v>540.38</v>
      </c>
      <c r="J458" t="s">
        <v>15</v>
      </c>
      <c r="K458">
        <v>0.18</v>
      </c>
      <c r="L458" t="s">
        <v>25</v>
      </c>
      <c r="M458" t="s">
        <v>29</v>
      </c>
      <c r="N458" t="s">
        <v>67</v>
      </c>
    </row>
    <row r="459" spans="1:14" x14ac:dyDescent="0.3">
      <c r="A459">
        <v>1060</v>
      </c>
      <c r="B459" s="13">
        <v>45221</v>
      </c>
      <c r="C459" t="s">
        <v>23</v>
      </c>
      <c r="D459" t="s">
        <v>30</v>
      </c>
      <c r="E459">
        <v>2661.25</v>
      </c>
      <c r="F459">
        <v>11</v>
      </c>
      <c r="G459" t="s">
        <v>24</v>
      </c>
      <c r="H459">
        <v>3648.04</v>
      </c>
      <c r="I459">
        <v>4143.51</v>
      </c>
      <c r="J459" t="s">
        <v>20</v>
      </c>
      <c r="K459">
        <v>0.17</v>
      </c>
      <c r="L459" t="s">
        <v>21</v>
      </c>
      <c r="M459" t="s">
        <v>17</v>
      </c>
      <c r="N459" t="s">
        <v>60</v>
      </c>
    </row>
    <row r="460" spans="1:14" x14ac:dyDescent="0.3">
      <c r="A460">
        <v>1005</v>
      </c>
      <c r="B460" s="13">
        <v>45158</v>
      </c>
      <c r="C460" t="s">
        <v>23</v>
      </c>
      <c r="D460" t="s">
        <v>30</v>
      </c>
      <c r="E460">
        <v>4400.59</v>
      </c>
      <c r="F460">
        <v>21</v>
      </c>
      <c r="G460" t="s">
        <v>22</v>
      </c>
      <c r="H460">
        <v>4376.37</v>
      </c>
      <c r="I460">
        <v>4818.95</v>
      </c>
      <c r="J460" t="s">
        <v>15</v>
      </c>
      <c r="K460">
        <v>0</v>
      </c>
      <c r="L460" t="s">
        <v>21</v>
      </c>
      <c r="M460" t="s">
        <v>17</v>
      </c>
      <c r="N460" t="s">
        <v>60</v>
      </c>
    </row>
    <row r="461" spans="1:14" x14ac:dyDescent="0.3">
      <c r="A461">
        <v>1068</v>
      </c>
      <c r="B461" s="13">
        <v>45153</v>
      </c>
      <c r="C461" t="s">
        <v>26</v>
      </c>
      <c r="D461" t="s">
        <v>27</v>
      </c>
      <c r="E461">
        <v>7262.13</v>
      </c>
      <c r="F461">
        <v>21</v>
      </c>
      <c r="G461" t="s">
        <v>22</v>
      </c>
      <c r="H461">
        <v>1142.53</v>
      </c>
      <c r="I461">
        <v>1384.3</v>
      </c>
      <c r="J461" t="s">
        <v>20</v>
      </c>
      <c r="K461">
        <v>0.02</v>
      </c>
      <c r="L461" t="s">
        <v>21</v>
      </c>
      <c r="M461" t="s">
        <v>17</v>
      </c>
      <c r="N461" t="s">
        <v>63</v>
      </c>
    </row>
    <row r="462" spans="1:14" x14ac:dyDescent="0.3">
      <c r="A462">
        <v>1006</v>
      </c>
      <c r="B462" s="13">
        <v>45236</v>
      </c>
      <c r="C462" t="s">
        <v>23</v>
      </c>
      <c r="D462" t="s">
        <v>27</v>
      </c>
      <c r="E462">
        <v>189.64</v>
      </c>
      <c r="F462">
        <v>22</v>
      </c>
      <c r="G462" t="s">
        <v>22</v>
      </c>
      <c r="H462">
        <v>834.32</v>
      </c>
      <c r="I462">
        <v>1098.97</v>
      </c>
      <c r="J462" t="s">
        <v>20</v>
      </c>
      <c r="K462">
        <v>0.17</v>
      </c>
      <c r="L462" t="s">
        <v>16</v>
      </c>
      <c r="M462" t="s">
        <v>29</v>
      </c>
      <c r="N462" t="s">
        <v>96</v>
      </c>
    </row>
    <row r="463" spans="1:14" x14ac:dyDescent="0.3">
      <c r="A463">
        <v>1096</v>
      </c>
      <c r="B463" s="13">
        <v>45024</v>
      </c>
      <c r="C463" t="s">
        <v>31</v>
      </c>
      <c r="D463" t="s">
        <v>27</v>
      </c>
      <c r="E463">
        <v>5935.59</v>
      </c>
      <c r="F463">
        <v>45</v>
      </c>
      <c r="G463" t="s">
        <v>14</v>
      </c>
      <c r="H463">
        <v>357.92</v>
      </c>
      <c r="I463">
        <v>461.3</v>
      </c>
      <c r="J463" t="s">
        <v>20</v>
      </c>
      <c r="K463">
        <v>0.28000000000000003</v>
      </c>
      <c r="L463" t="s">
        <v>16</v>
      </c>
      <c r="M463" t="s">
        <v>29</v>
      </c>
      <c r="N463" t="s">
        <v>86</v>
      </c>
    </row>
    <row r="464" spans="1:14" x14ac:dyDescent="0.3">
      <c r="A464">
        <v>1094</v>
      </c>
      <c r="B464" s="13">
        <v>44981</v>
      </c>
      <c r="C464" t="s">
        <v>23</v>
      </c>
      <c r="D464" t="s">
        <v>19</v>
      </c>
      <c r="E464">
        <v>6171.59</v>
      </c>
      <c r="F464">
        <v>7</v>
      </c>
      <c r="G464" t="s">
        <v>24</v>
      </c>
      <c r="H464">
        <v>4122.38</v>
      </c>
      <c r="I464">
        <v>4358.78</v>
      </c>
      <c r="J464" t="s">
        <v>20</v>
      </c>
      <c r="K464">
        <v>0.26</v>
      </c>
      <c r="L464" t="s">
        <v>25</v>
      </c>
      <c r="M464" t="s">
        <v>17</v>
      </c>
      <c r="N464" t="s">
        <v>81</v>
      </c>
    </row>
    <row r="465" spans="1:14" x14ac:dyDescent="0.3">
      <c r="A465">
        <v>1047</v>
      </c>
      <c r="B465" s="13">
        <v>45037</v>
      </c>
      <c r="C465" t="s">
        <v>12</v>
      </c>
      <c r="D465" t="s">
        <v>19</v>
      </c>
      <c r="E465">
        <v>6413.11</v>
      </c>
      <c r="F465">
        <v>17</v>
      </c>
      <c r="G465" t="s">
        <v>24</v>
      </c>
      <c r="H465">
        <v>1591.34</v>
      </c>
      <c r="I465">
        <v>2043.82</v>
      </c>
      <c r="J465" t="s">
        <v>15</v>
      </c>
      <c r="K465">
        <v>0.28999999999999998</v>
      </c>
      <c r="L465" t="s">
        <v>16</v>
      </c>
      <c r="M465" t="s">
        <v>17</v>
      </c>
      <c r="N465" t="s">
        <v>74</v>
      </c>
    </row>
    <row r="466" spans="1:14" x14ac:dyDescent="0.3">
      <c r="A466">
        <v>1099</v>
      </c>
      <c r="B466" s="13">
        <v>45078</v>
      </c>
      <c r="C466" t="s">
        <v>26</v>
      </c>
      <c r="D466" t="s">
        <v>27</v>
      </c>
      <c r="E466">
        <v>2496.02</v>
      </c>
      <c r="F466">
        <v>2</v>
      </c>
      <c r="G466" t="s">
        <v>28</v>
      </c>
      <c r="H466">
        <v>2038.4</v>
      </c>
      <c r="I466">
        <v>2073.3200000000002</v>
      </c>
      <c r="J466" t="s">
        <v>15</v>
      </c>
      <c r="K466">
        <v>0.16</v>
      </c>
      <c r="L466" t="s">
        <v>16</v>
      </c>
      <c r="M466" t="s">
        <v>17</v>
      </c>
      <c r="N466" t="s">
        <v>63</v>
      </c>
    </row>
    <row r="467" spans="1:14" x14ac:dyDescent="0.3">
      <c r="A467">
        <v>1055</v>
      </c>
      <c r="B467" s="13">
        <v>45172</v>
      </c>
      <c r="C467" t="s">
        <v>31</v>
      </c>
      <c r="D467" t="s">
        <v>19</v>
      </c>
      <c r="E467">
        <v>7169.12</v>
      </c>
      <c r="F467">
        <v>12</v>
      </c>
      <c r="G467" t="s">
        <v>28</v>
      </c>
      <c r="H467">
        <v>2538.61</v>
      </c>
      <c r="I467">
        <v>2971.75</v>
      </c>
      <c r="J467" t="s">
        <v>20</v>
      </c>
      <c r="K467">
        <v>0.24</v>
      </c>
      <c r="L467" t="s">
        <v>16</v>
      </c>
      <c r="M467" t="s">
        <v>29</v>
      </c>
      <c r="N467" t="s">
        <v>88</v>
      </c>
    </row>
    <row r="468" spans="1:14" x14ac:dyDescent="0.3">
      <c r="A468">
        <v>1040</v>
      </c>
      <c r="B468" s="13">
        <v>44995</v>
      </c>
      <c r="C468" t="s">
        <v>26</v>
      </c>
      <c r="D468" t="s">
        <v>13</v>
      </c>
      <c r="E468">
        <v>1004.78</v>
      </c>
      <c r="F468">
        <v>42</v>
      </c>
      <c r="G468" t="s">
        <v>28</v>
      </c>
      <c r="H468">
        <v>4205.29</v>
      </c>
      <c r="I468">
        <v>4382.3500000000004</v>
      </c>
      <c r="J468" t="s">
        <v>15</v>
      </c>
      <c r="K468">
        <v>0.25</v>
      </c>
      <c r="L468" t="s">
        <v>16</v>
      </c>
      <c r="M468" t="s">
        <v>17</v>
      </c>
      <c r="N468" t="s">
        <v>55</v>
      </c>
    </row>
    <row r="469" spans="1:14" x14ac:dyDescent="0.3">
      <c r="A469">
        <v>1052</v>
      </c>
      <c r="B469" s="13">
        <v>45238</v>
      </c>
      <c r="C469" t="s">
        <v>31</v>
      </c>
      <c r="D469" t="s">
        <v>13</v>
      </c>
      <c r="E469">
        <v>2072.7800000000002</v>
      </c>
      <c r="F469">
        <v>18</v>
      </c>
      <c r="G469" t="s">
        <v>24</v>
      </c>
      <c r="H469">
        <v>3271.62</v>
      </c>
      <c r="I469">
        <v>3722.38</v>
      </c>
      <c r="J469" t="s">
        <v>20</v>
      </c>
      <c r="K469">
        <v>0.19</v>
      </c>
      <c r="L469" t="s">
        <v>25</v>
      </c>
      <c r="M469" t="s">
        <v>17</v>
      </c>
      <c r="N469" t="s">
        <v>67</v>
      </c>
    </row>
    <row r="470" spans="1:14" x14ac:dyDescent="0.3">
      <c r="A470">
        <v>1016</v>
      </c>
      <c r="B470" s="13">
        <v>45215</v>
      </c>
      <c r="C470" t="s">
        <v>12</v>
      </c>
      <c r="D470" t="s">
        <v>19</v>
      </c>
      <c r="E470">
        <v>8786.9500000000007</v>
      </c>
      <c r="F470">
        <v>11</v>
      </c>
      <c r="G470" t="s">
        <v>28</v>
      </c>
      <c r="H470">
        <v>3094.57</v>
      </c>
      <c r="I470" s="14" t="s">
        <v>202</v>
      </c>
      <c r="J470" t="s">
        <v>20</v>
      </c>
      <c r="K470">
        <v>0.1</v>
      </c>
      <c r="L470" t="s">
        <v>21</v>
      </c>
      <c r="M470" t="s">
        <v>17</v>
      </c>
      <c r="N470" t="s">
        <v>74</v>
      </c>
    </row>
    <row r="471" spans="1:14" x14ac:dyDescent="0.3">
      <c r="A471">
        <v>1013</v>
      </c>
      <c r="B471" s="13">
        <v>45176</v>
      </c>
      <c r="C471" t="s">
        <v>26</v>
      </c>
      <c r="D471" t="s">
        <v>19</v>
      </c>
      <c r="E471">
        <v>7413.36</v>
      </c>
      <c r="F471">
        <v>16</v>
      </c>
      <c r="G471" t="s">
        <v>24</v>
      </c>
      <c r="H471">
        <v>919.58</v>
      </c>
      <c r="I471" s="14" t="s">
        <v>201</v>
      </c>
      <c r="J471" t="s">
        <v>20</v>
      </c>
      <c r="K471">
        <v>0.14000000000000001</v>
      </c>
      <c r="L471" t="s">
        <v>25</v>
      </c>
      <c r="M471" t="s">
        <v>29</v>
      </c>
      <c r="N471" t="s">
        <v>76</v>
      </c>
    </row>
    <row r="472" spans="1:14" x14ac:dyDescent="0.3">
      <c r="A472">
        <v>1030</v>
      </c>
      <c r="B472" s="13">
        <v>44962</v>
      </c>
      <c r="C472" t="s">
        <v>18</v>
      </c>
      <c r="D472" t="s">
        <v>13</v>
      </c>
      <c r="E472">
        <v>236.08</v>
      </c>
      <c r="F472">
        <v>49</v>
      </c>
      <c r="G472" t="s">
        <v>24</v>
      </c>
      <c r="H472">
        <v>2590.29</v>
      </c>
      <c r="I472">
        <v>2925.86</v>
      </c>
      <c r="J472" t="s">
        <v>20</v>
      </c>
      <c r="K472">
        <v>0.26</v>
      </c>
      <c r="L472" t="s">
        <v>16</v>
      </c>
      <c r="M472" t="s">
        <v>17</v>
      </c>
      <c r="N472" t="s">
        <v>80</v>
      </c>
    </row>
    <row r="473" spans="1:14" x14ac:dyDescent="0.3">
      <c r="A473">
        <v>1019</v>
      </c>
      <c r="B473" s="13">
        <v>45165</v>
      </c>
      <c r="C473" t="s">
        <v>31</v>
      </c>
      <c r="D473" t="s">
        <v>30</v>
      </c>
      <c r="E473">
        <v>2558.92</v>
      </c>
      <c r="F473">
        <v>18</v>
      </c>
      <c r="G473" t="s">
        <v>22</v>
      </c>
      <c r="H473">
        <v>3591.14</v>
      </c>
      <c r="I473">
        <v>3822.99</v>
      </c>
      <c r="J473" t="s">
        <v>20</v>
      </c>
      <c r="K473">
        <v>0.09</v>
      </c>
      <c r="L473" t="s">
        <v>21</v>
      </c>
      <c r="M473" t="s">
        <v>29</v>
      </c>
      <c r="N473" t="s">
        <v>62</v>
      </c>
    </row>
    <row r="474" spans="1:14" x14ac:dyDescent="0.3">
      <c r="A474">
        <v>1017</v>
      </c>
      <c r="B474" s="13">
        <v>45074</v>
      </c>
      <c r="C474" t="s">
        <v>18</v>
      </c>
      <c r="D474" t="s">
        <v>13</v>
      </c>
      <c r="E474">
        <v>2222.62</v>
      </c>
      <c r="F474">
        <v>35</v>
      </c>
      <c r="G474" t="s">
        <v>28</v>
      </c>
      <c r="H474">
        <v>4867.6400000000003</v>
      </c>
      <c r="I474">
        <v>5287.05</v>
      </c>
      <c r="J474" t="s">
        <v>20</v>
      </c>
      <c r="K474">
        <v>0.28000000000000003</v>
      </c>
      <c r="L474" t="s">
        <v>21</v>
      </c>
      <c r="M474" t="s">
        <v>29</v>
      </c>
      <c r="N474" t="s">
        <v>80</v>
      </c>
    </row>
    <row r="475" spans="1:14" x14ac:dyDescent="0.3">
      <c r="A475">
        <v>1063</v>
      </c>
      <c r="B475" s="13">
        <v>45153</v>
      </c>
      <c r="C475" t="s">
        <v>26</v>
      </c>
      <c r="D475" t="s">
        <v>13</v>
      </c>
      <c r="E475">
        <v>2780.98</v>
      </c>
      <c r="F475">
        <v>26</v>
      </c>
      <c r="G475" t="s">
        <v>22</v>
      </c>
      <c r="H475">
        <v>1046.96</v>
      </c>
      <c r="I475">
        <v>1528.15</v>
      </c>
      <c r="J475" t="s">
        <v>15</v>
      </c>
      <c r="K475">
        <v>7.0000000000000007E-2</v>
      </c>
      <c r="L475" t="s">
        <v>21</v>
      </c>
      <c r="M475" t="s">
        <v>17</v>
      </c>
      <c r="N475" t="s">
        <v>55</v>
      </c>
    </row>
    <row r="476" spans="1:14" x14ac:dyDescent="0.3">
      <c r="A476">
        <v>1019</v>
      </c>
      <c r="B476" s="13">
        <v>45170</v>
      </c>
      <c r="C476" t="s">
        <v>18</v>
      </c>
      <c r="D476" t="s">
        <v>19</v>
      </c>
      <c r="E476">
        <v>2550.84</v>
      </c>
      <c r="F476">
        <v>16</v>
      </c>
      <c r="G476" t="s">
        <v>14</v>
      </c>
      <c r="H476">
        <v>97.24</v>
      </c>
      <c r="I476" s="14" t="s">
        <v>200</v>
      </c>
      <c r="J476" t="s">
        <v>15</v>
      </c>
      <c r="K476">
        <v>0.22</v>
      </c>
      <c r="L476" t="s">
        <v>25</v>
      </c>
      <c r="M476" t="s">
        <v>17</v>
      </c>
      <c r="N476" t="s">
        <v>56</v>
      </c>
    </row>
    <row r="477" spans="1:14" x14ac:dyDescent="0.3">
      <c r="A477">
        <v>1092</v>
      </c>
      <c r="B477" s="13">
        <v>45263</v>
      </c>
      <c r="C477" t="s">
        <v>18</v>
      </c>
      <c r="D477" t="s">
        <v>13</v>
      </c>
      <c r="E477">
        <v>719.01</v>
      </c>
      <c r="F477">
        <v>6</v>
      </c>
      <c r="G477" t="s">
        <v>14</v>
      </c>
      <c r="H477">
        <v>422.74</v>
      </c>
      <c r="I477">
        <v>737.49</v>
      </c>
      <c r="J477" t="s">
        <v>20</v>
      </c>
      <c r="K477">
        <v>0.19</v>
      </c>
      <c r="L477" t="s">
        <v>21</v>
      </c>
      <c r="M477" t="s">
        <v>17</v>
      </c>
      <c r="N477" t="s">
        <v>80</v>
      </c>
    </row>
    <row r="478" spans="1:14" x14ac:dyDescent="0.3">
      <c r="A478">
        <v>1058</v>
      </c>
      <c r="B478" s="13">
        <v>45291</v>
      </c>
      <c r="C478" t="s">
        <v>26</v>
      </c>
      <c r="D478" t="s">
        <v>19</v>
      </c>
      <c r="E478">
        <v>4643.51</v>
      </c>
      <c r="F478">
        <v>44</v>
      </c>
      <c r="G478" t="s">
        <v>14</v>
      </c>
      <c r="H478">
        <v>1910.47</v>
      </c>
      <c r="I478">
        <v>2217.8000000000002</v>
      </c>
      <c r="J478" t="s">
        <v>15</v>
      </c>
      <c r="K478">
        <v>0.22</v>
      </c>
      <c r="L478" t="s">
        <v>25</v>
      </c>
      <c r="M478" t="s">
        <v>29</v>
      </c>
      <c r="N478" t="s">
        <v>76</v>
      </c>
    </row>
    <row r="479" spans="1:14" x14ac:dyDescent="0.3">
      <c r="A479">
        <v>1055</v>
      </c>
      <c r="B479" s="13">
        <v>45127</v>
      </c>
      <c r="C479" t="s">
        <v>12</v>
      </c>
      <c r="D479" t="s">
        <v>19</v>
      </c>
      <c r="E479">
        <v>7354.06</v>
      </c>
      <c r="F479">
        <v>43</v>
      </c>
      <c r="G479" t="s">
        <v>24</v>
      </c>
      <c r="H479">
        <v>4111.7</v>
      </c>
      <c r="I479">
        <v>4537.9399999999996</v>
      </c>
      <c r="J479" t="s">
        <v>20</v>
      </c>
      <c r="K479">
        <v>0.13</v>
      </c>
      <c r="L479" t="s">
        <v>25</v>
      </c>
      <c r="M479" t="s">
        <v>29</v>
      </c>
      <c r="N479" t="s">
        <v>74</v>
      </c>
    </row>
    <row r="480" spans="1:14" x14ac:dyDescent="0.3">
      <c r="A480">
        <v>1090</v>
      </c>
      <c r="B480" s="13">
        <v>45080</v>
      </c>
      <c r="C480" t="s">
        <v>18</v>
      </c>
      <c r="D480" t="s">
        <v>27</v>
      </c>
      <c r="E480">
        <v>6106.64</v>
      </c>
      <c r="F480">
        <v>47</v>
      </c>
      <c r="G480" t="s">
        <v>24</v>
      </c>
      <c r="H480">
        <v>85.35</v>
      </c>
      <c r="I480" s="14" t="s">
        <v>199</v>
      </c>
      <c r="J480" t="s">
        <v>15</v>
      </c>
      <c r="K480">
        <v>0.28000000000000003</v>
      </c>
      <c r="L480" t="s">
        <v>16</v>
      </c>
      <c r="M480" t="s">
        <v>29</v>
      </c>
      <c r="N480" t="s">
        <v>58</v>
      </c>
    </row>
    <row r="481" spans="1:14" x14ac:dyDescent="0.3">
      <c r="A481">
        <v>1090</v>
      </c>
      <c r="B481" s="13">
        <v>44999</v>
      </c>
      <c r="C481" t="s">
        <v>18</v>
      </c>
      <c r="D481" t="s">
        <v>13</v>
      </c>
      <c r="E481">
        <v>6761.43</v>
      </c>
      <c r="F481">
        <v>47</v>
      </c>
      <c r="G481" t="s">
        <v>24</v>
      </c>
      <c r="H481">
        <v>2310.8200000000002</v>
      </c>
      <c r="I481">
        <v>2714.71</v>
      </c>
      <c r="J481" t="s">
        <v>15</v>
      </c>
      <c r="K481">
        <v>0.19</v>
      </c>
      <c r="L481" t="s">
        <v>16</v>
      </c>
      <c r="M481" t="s">
        <v>17</v>
      </c>
      <c r="N481" t="s">
        <v>80</v>
      </c>
    </row>
    <row r="482" spans="1:14" x14ac:dyDescent="0.3">
      <c r="A482">
        <v>1062</v>
      </c>
      <c r="B482" s="13">
        <v>45127</v>
      </c>
      <c r="C482" t="s">
        <v>12</v>
      </c>
      <c r="D482" t="s">
        <v>30</v>
      </c>
      <c r="E482">
        <v>903.38</v>
      </c>
      <c r="F482">
        <v>48</v>
      </c>
      <c r="G482" t="s">
        <v>28</v>
      </c>
      <c r="H482">
        <v>1679.69</v>
      </c>
      <c r="I482">
        <v>1939.04</v>
      </c>
      <c r="J482" t="s">
        <v>15</v>
      </c>
      <c r="K482">
        <v>0.09</v>
      </c>
      <c r="L482" t="s">
        <v>21</v>
      </c>
      <c r="M482" t="s">
        <v>29</v>
      </c>
      <c r="N482" t="s">
        <v>72</v>
      </c>
    </row>
    <row r="483" spans="1:14" x14ac:dyDescent="0.3">
      <c r="A483">
        <v>1023</v>
      </c>
      <c r="B483" s="13">
        <v>45222</v>
      </c>
      <c r="C483" t="s">
        <v>18</v>
      </c>
      <c r="D483" t="s">
        <v>27</v>
      </c>
      <c r="E483">
        <v>9519.76</v>
      </c>
      <c r="F483">
        <v>42</v>
      </c>
      <c r="G483" t="s">
        <v>22</v>
      </c>
      <c r="H483">
        <v>309.77999999999997</v>
      </c>
      <c r="I483">
        <v>350.38</v>
      </c>
      <c r="J483" t="s">
        <v>20</v>
      </c>
      <c r="K483">
        <v>0.19</v>
      </c>
      <c r="L483" t="s">
        <v>21</v>
      </c>
      <c r="M483" t="s">
        <v>17</v>
      </c>
      <c r="N483" t="s">
        <v>58</v>
      </c>
    </row>
    <row r="484" spans="1:14" x14ac:dyDescent="0.3">
      <c r="A484">
        <v>1009</v>
      </c>
      <c r="B484" s="13">
        <v>44943</v>
      </c>
      <c r="C484" t="s">
        <v>18</v>
      </c>
      <c r="D484" t="s">
        <v>19</v>
      </c>
      <c r="E484">
        <v>8401.07</v>
      </c>
      <c r="F484">
        <v>12</v>
      </c>
      <c r="G484" t="s">
        <v>24</v>
      </c>
      <c r="H484">
        <v>2278.67</v>
      </c>
      <c r="I484">
        <v>2476.8000000000002</v>
      </c>
      <c r="J484" t="s">
        <v>15</v>
      </c>
      <c r="K484">
        <v>0.09</v>
      </c>
      <c r="L484" t="s">
        <v>16</v>
      </c>
      <c r="M484" t="s">
        <v>17</v>
      </c>
      <c r="N484" t="s">
        <v>56</v>
      </c>
    </row>
    <row r="485" spans="1:14" x14ac:dyDescent="0.3">
      <c r="A485">
        <v>1012</v>
      </c>
      <c r="B485" s="13">
        <v>45055</v>
      </c>
      <c r="C485" t="s">
        <v>18</v>
      </c>
      <c r="D485" t="s">
        <v>19</v>
      </c>
      <c r="E485">
        <v>8070.39</v>
      </c>
      <c r="F485">
        <v>13</v>
      </c>
      <c r="G485" t="s">
        <v>22</v>
      </c>
      <c r="H485">
        <v>1311.01</v>
      </c>
      <c r="I485">
        <v>1538.79</v>
      </c>
      <c r="J485" t="s">
        <v>20</v>
      </c>
      <c r="K485">
        <v>0.09</v>
      </c>
      <c r="L485" t="s">
        <v>25</v>
      </c>
      <c r="M485" t="s">
        <v>17</v>
      </c>
      <c r="N485" t="s">
        <v>56</v>
      </c>
    </row>
    <row r="486" spans="1:14" x14ac:dyDescent="0.3">
      <c r="A486">
        <v>1001</v>
      </c>
      <c r="B486" s="13">
        <v>45143</v>
      </c>
      <c r="C486" t="s">
        <v>23</v>
      </c>
      <c r="D486" t="s">
        <v>30</v>
      </c>
      <c r="E486">
        <v>8247.5400000000009</v>
      </c>
      <c r="F486">
        <v>4</v>
      </c>
      <c r="G486" t="s">
        <v>22</v>
      </c>
      <c r="H486">
        <v>1791.83</v>
      </c>
      <c r="I486">
        <v>1871.22</v>
      </c>
      <c r="J486" t="s">
        <v>20</v>
      </c>
      <c r="K486">
        <v>0.12</v>
      </c>
      <c r="L486" t="s">
        <v>25</v>
      </c>
      <c r="M486" t="s">
        <v>29</v>
      </c>
      <c r="N486" t="s">
        <v>60</v>
      </c>
    </row>
    <row r="487" spans="1:14" x14ac:dyDescent="0.3">
      <c r="A487">
        <v>1058</v>
      </c>
      <c r="B487" s="13">
        <v>44987</v>
      </c>
      <c r="C487" t="s">
        <v>12</v>
      </c>
      <c r="D487" t="s">
        <v>19</v>
      </c>
      <c r="E487">
        <v>9333.83</v>
      </c>
      <c r="F487">
        <v>39</v>
      </c>
      <c r="G487" t="s">
        <v>22</v>
      </c>
      <c r="H487">
        <v>3542.8</v>
      </c>
      <c r="I487">
        <v>3603.02</v>
      </c>
      <c r="J487" t="s">
        <v>20</v>
      </c>
      <c r="K487">
        <v>0.26</v>
      </c>
      <c r="L487" t="s">
        <v>16</v>
      </c>
      <c r="M487" t="s">
        <v>29</v>
      </c>
      <c r="N487" t="s">
        <v>74</v>
      </c>
    </row>
    <row r="488" spans="1:14" x14ac:dyDescent="0.3">
      <c r="A488">
        <v>1001</v>
      </c>
      <c r="B488" s="13">
        <v>45030</v>
      </c>
      <c r="C488" t="s">
        <v>18</v>
      </c>
      <c r="D488" t="s">
        <v>13</v>
      </c>
      <c r="E488">
        <v>5488.11</v>
      </c>
      <c r="F488">
        <v>2</v>
      </c>
      <c r="G488" t="s">
        <v>28</v>
      </c>
      <c r="H488">
        <v>2631.68</v>
      </c>
      <c r="I488">
        <v>2904.06</v>
      </c>
      <c r="J488" t="s">
        <v>15</v>
      </c>
      <c r="K488">
        <v>0.15</v>
      </c>
      <c r="L488" t="s">
        <v>25</v>
      </c>
      <c r="M488" t="s">
        <v>29</v>
      </c>
      <c r="N488" t="s">
        <v>80</v>
      </c>
    </row>
    <row r="489" spans="1:14" x14ac:dyDescent="0.3">
      <c r="A489">
        <v>1034</v>
      </c>
      <c r="B489" s="13">
        <v>44968</v>
      </c>
      <c r="C489" t="s">
        <v>12</v>
      </c>
      <c r="D489" t="s">
        <v>27</v>
      </c>
      <c r="E489">
        <v>2082.79</v>
      </c>
      <c r="F489">
        <v>26</v>
      </c>
      <c r="G489" t="s">
        <v>28</v>
      </c>
      <c r="H489">
        <v>667</v>
      </c>
      <c r="I489">
        <v>718.72</v>
      </c>
      <c r="J489" t="s">
        <v>15</v>
      </c>
      <c r="K489">
        <v>0.2</v>
      </c>
      <c r="L489" t="s">
        <v>16</v>
      </c>
      <c r="M489" t="s">
        <v>17</v>
      </c>
      <c r="N489" t="s">
        <v>100</v>
      </c>
    </row>
    <row r="490" spans="1:14" x14ac:dyDescent="0.3">
      <c r="A490">
        <v>1096</v>
      </c>
      <c r="B490" s="13">
        <v>44951</v>
      </c>
      <c r="C490" t="s">
        <v>31</v>
      </c>
      <c r="D490" t="s">
        <v>19</v>
      </c>
      <c r="E490">
        <v>6206.16</v>
      </c>
      <c r="F490">
        <v>27</v>
      </c>
      <c r="G490" t="s">
        <v>14</v>
      </c>
      <c r="H490">
        <v>4809</v>
      </c>
      <c r="I490">
        <v>4967.4399999999996</v>
      </c>
      <c r="J490" t="s">
        <v>15</v>
      </c>
      <c r="K490">
        <v>0.12</v>
      </c>
      <c r="L490" t="s">
        <v>16</v>
      </c>
      <c r="M490" t="s">
        <v>29</v>
      </c>
      <c r="N490" t="s">
        <v>88</v>
      </c>
    </row>
    <row r="491" spans="1:14" x14ac:dyDescent="0.3">
      <c r="A491">
        <v>1048</v>
      </c>
      <c r="B491" s="13">
        <v>44965</v>
      </c>
      <c r="C491" t="s">
        <v>31</v>
      </c>
      <c r="D491" t="s">
        <v>19</v>
      </c>
      <c r="E491">
        <v>7454.53</v>
      </c>
      <c r="F491">
        <v>27</v>
      </c>
      <c r="G491" t="s">
        <v>14</v>
      </c>
      <c r="H491">
        <v>3197.76</v>
      </c>
      <c r="I491">
        <v>3572.61</v>
      </c>
      <c r="J491" t="s">
        <v>20</v>
      </c>
      <c r="K491">
        <v>0.08</v>
      </c>
      <c r="L491" t="s">
        <v>21</v>
      </c>
      <c r="M491" t="s">
        <v>29</v>
      </c>
      <c r="N491" t="s">
        <v>88</v>
      </c>
    </row>
    <row r="492" spans="1:14" x14ac:dyDescent="0.3">
      <c r="A492">
        <v>1089</v>
      </c>
      <c r="B492" s="13">
        <v>45217</v>
      </c>
      <c r="C492" t="s">
        <v>18</v>
      </c>
      <c r="D492" t="s">
        <v>30</v>
      </c>
      <c r="E492">
        <v>7405.38</v>
      </c>
      <c r="F492">
        <v>15</v>
      </c>
      <c r="G492" t="s">
        <v>22</v>
      </c>
      <c r="H492">
        <v>3841.05</v>
      </c>
      <c r="I492">
        <v>4323.62</v>
      </c>
      <c r="J492" t="s">
        <v>20</v>
      </c>
      <c r="K492">
        <v>0.28999999999999998</v>
      </c>
      <c r="L492" t="s">
        <v>21</v>
      </c>
      <c r="M492" t="s">
        <v>17</v>
      </c>
      <c r="N492" t="s">
        <v>64</v>
      </c>
    </row>
    <row r="493" spans="1:14" x14ac:dyDescent="0.3">
      <c r="A493">
        <v>1001</v>
      </c>
      <c r="B493" s="13">
        <v>45057</v>
      </c>
      <c r="C493" t="s">
        <v>12</v>
      </c>
      <c r="D493" t="s">
        <v>13</v>
      </c>
      <c r="E493">
        <v>5262.35</v>
      </c>
      <c r="F493">
        <v>8</v>
      </c>
      <c r="G493" t="s">
        <v>14</v>
      </c>
      <c r="H493">
        <v>442.11</v>
      </c>
      <c r="I493">
        <v>803.87</v>
      </c>
      <c r="J493" t="s">
        <v>15</v>
      </c>
      <c r="K493">
        <v>0.18</v>
      </c>
      <c r="L493" t="s">
        <v>16</v>
      </c>
      <c r="M493" t="s">
        <v>17</v>
      </c>
      <c r="N493" t="s">
        <v>83</v>
      </c>
    </row>
    <row r="494" spans="1:14" x14ac:dyDescent="0.3">
      <c r="A494">
        <v>1016</v>
      </c>
      <c r="B494" s="13">
        <v>45155</v>
      </c>
      <c r="C494" t="s">
        <v>12</v>
      </c>
      <c r="D494" t="s">
        <v>19</v>
      </c>
      <c r="E494">
        <v>777.74</v>
      </c>
      <c r="F494">
        <v>7</v>
      </c>
      <c r="G494" t="s">
        <v>22</v>
      </c>
      <c r="H494">
        <v>282.94</v>
      </c>
      <c r="I494" s="14" t="s">
        <v>198</v>
      </c>
      <c r="J494" t="s">
        <v>20</v>
      </c>
      <c r="K494">
        <v>0.28000000000000003</v>
      </c>
      <c r="L494" t="s">
        <v>21</v>
      </c>
      <c r="M494" t="s">
        <v>29</v>
      </c>
      <c r="N494" t="s">
        <v>74</v>
      </c>
    </row>
    <row r="495" spans="1:14" x14ac:dyDescent="0.3">
      <c r="A495">
        <v>1061</v>
      </c>
      <c r="B495" s="13">
        <v>45034</v>
      </c>
      <c r="C495" t="s">
        <v>12</v>
      </c>
      <c r="D495" t="s">
        <v>30</v>
      </c>
      <c r="E495">
        <v>3774.02</v>
      </c>
      <c r="F495">
        <v>47</v>
      </c>
      <c r="G495" t="s">
        <v>28</v>
      </c>
      <c r="H495">
        <v>146.27000000000001</v>
      </c>
      <c r="I495" s="14" t="s">
        <v>197</v>
      </c>
      <c r="J495" t="s">
        <v>15</v>
      </c>
      <c r="K495">
        <v>0.06</v>
      </c>
      <c r="L495" t="s">
        <v>16</v>
      </c>
      <c r="M495" t="s">
        <v>17</v>
      </c>
      <c r="N495" t="s">
        <v>72</v>
      </c>
    </row>
    <row r="496" spans="1:14" x14ac:dyDescent="0.3">
      <c r="A496">
        <v>1064</v>
      </c>
      <c r="B496" s="13">
        <v>45098</v>
      </c>
      <c r="C496" t="s">
        <v>23</v>
      </c>
      <c r="D496" t="s">
        <v>19</v>
      </c>
      <c r="E496">
        <v>9215.59</v>
      </c>
      <c r="F496">
        <v>46</v>
      </c>
      <c r="G496" t="s">
        <v>28</v>
      </c>
      <c r="H496">
        <v>984.53</v>
      </c>
      <c r="I496">
        <v>1138.49</v>
      </c>
      <c r="J496" t="s">
        <v>15</v>
      </c>
      <c r="K496">
        <v>0.04</v>
      </c>
      <c r="L496" t="s">
        <v>25</v>
      </c>
      <c r="M496" t="s">
        <v>29</v>
      </c>
      <c r="N496" t="s">
        <v>81</v>
      </c>
    </row>
    <row r="497" spans="1:14" x14ac:dyDescent="0.3">
      <c r="A497">
        <v>1063</v>
      </c>
      <c r="B497" s="13">
        <v>45028</v>
      </c>
      <c r="C497" t="s">
        <v>31</v>
      </c>
      <c r="D497" t="s">
        <v>30</v>
      </c>
      <c r="E497">
        <v>5886.04</v>
      </c>
      <c r="F497">
        <v>40</v>
      </c>
      <c r="G497" t="s">
        <v>28</v>
      </c>
      <c r="H497">
        <v>2101.3200000000002</v>
      </c>
      <c r="I497">
        <v>2440.63</v>
      </c>
      <c r="J497" t="s">
        <v>15</v>
      </c>
      <c r="K497">
        <v>0.26</v>
      </c>
      <c r="L497" t="s">
        <v>25</v>
      </c>
      <c r="M497" t="s">
        <v>17</v>
      </c>
      <c r="N497" t="s">
        <v>62</v>
      </c>
    </row>
    <row r="498" spans="1:14" x14ac:dyDescent="0.3">
      <c r="A498">
        <v>1069</v>
      </c>
      <c r="B498" s="13">
        <v>45280</v>
      </c>
      <c r="C498" t="s">
        <v>12</v>
      </c>
      <c r="D498" t="s">
        <v>30</v>
      </c>
      <c r="E498">
        <v>5429.49</v>
      </c>
      <c r="F498">
        <v>12</v>
      </c>
      <c r="G498" t="s">
        <v>24</v>
      </c>
      <c r="H498">
        <v>4682.34</v>
      </c>
      <c r="I498" s="14" t="s">
        <v>196</v>
      </c>
      <c r="J498" t="s">
        <v>15</v>
      </c>
      <c r="K498">
        <v>0.2</v>
      </c>
      <c r="L498" t="s">
        <v>25</v>
      </c>
      <c r="M498" t="s">
        <v>17</v>
      </c>
      <c r="N498" t="s">
        <v>72</v>
      </c>
    </row>
    <row r="499" spans="1:14" x14ac:dyDescent="0.3">
      <c r="A499">
        <v>1022</v>
      </c>
      <c r="B499" s="13">
        <v>44938</v>
      </c>
      <c r="C499" t="s">
        <v>12</v>
      </c>
      <c r="D499" t="s">
        <v>13</v>
      </c>
      <c r="E499">
        <v>2761.65</v>
      </c>
      <c r="F499">
        <v>13</v>
      </c>
      <c r="G499" t="s">
        <v>22</v>
      </c>
      <c r="H499">
        <v>2312.4499999999998</v>
      </c>
      <c r="I499">
        <v>2504.6</v>
      </c>
      <c r="J499" t="s">
        <v>20</v>
      </c>
      <c r="K499">
        <v>0.06</v>
      </c>
      <c r="L499" t="s">
        <v>25</v>
      </c>
      <c r="M499" t="s">
        <v>29</v>
      </c>
      <c r="N499" t="s">
        <v>83</v>
      </c>
    </row>
    <row r="500" spans="1:14" x14ac:dyDescent="0.3">
      <c r="A500">
        <v>1093</v>
      </c>
      <c r="B500" s="13">
        <v>45201</v>
      </c>
      <c r="C500" t="s">
        <v>23</v>
      </c>
      <c r="D500" t="s">
        <v>19</v>
      </c>
      <c r="E500">
        <v>3747.64</v>
      </c>
      <c r="F500">
        <v>43</v>
      </c>
      <c r="G500" t="s">
        <v>28</v>
      </c>
      <c r="H500">
        <v>1486.76</v>
      </c>
      <c r="I500">
        <v>1505.44</v>
      </c>
      <c r="J500" t="s">
        <v>15</v>
      </c>
      <c r="K500">
        <v>0.08</v>
      </c>
      <c r="L500" t="s">
        <v>16</v>
      </c>
      <c r="M500" t="s">
        <v>17</v>
      </c>
      <c r="N500" t="s">
        <v>81</v>
      </c>
    </row>
    <row r="501" spans="1:14" x14ac:dyDescent="0.3">
      <c r="A501">
        <v>1067</v>
      </c>
      <c r="B501" s="13">
        <v>45027</v>
      </c>
      <c r="C501" t="s">
        <v>23</v>
      </c>
      <c r="D501" t="s">
        <v>13</v>
      </c>
      <c r="E501">
        <v>8963.93</v>
      </c>
      <c r="F501">
        <v>17</v>
      </c>
      <c r="G501" t="s">
        <v>22</v>
      </c>
      <c r="H501">
        <v>2831.58</v>
      </c>
      <c r="I501">
        <v>3186.15</v>
      </c>
      <c r="J501" t="s">
        <v>15</v>
      </c>
      <c r="K501">
        <v>0.24</v>
      </c>
      <c r="L501" t="s">
        <v>25</v>
      </c>
      <c r="M501" t="s">
        <v>17</v>
      </c>
      <c r="N501" t="s">
        <v>69</v>
      </c>
    </row>
    <row r="502" spans="1:14" x14ac:dyDescent="0.3">
      <c r="A502">
        <v>1076</v>
      </c>
      <c r="B502" s="13">
        <v>44970</v>
      </c>
      <c r="C502" t="s">
        <v>12</v>
      </c>
      <c r="D502" t="s">
        <v>30</v>
      </c>
      <c r="E502">
        <v>6697.98</v>
      </c>
      <c r="F502">
        <v>17</v>
      </c>
      <c r="G502" t="s">
        <v>14</v>
      </c>
      <c r="H502">
        <v>604.08000000000004</v>
      </c>
      <c r="I502">
        <v>624.71</v>
      </c>
      <c r="J502" t="s">
        <v>15</v>
      </c>
      <c r="K502">
        <v>0.14000000000000001</v>
      </c>
      <c r="L502" t="s">
        <v>25</v>
      </c>
      <c r="M502" t="s">
        <v>17</v>
      </c>
      <c r="N502" t="s">
        <v>72</v>
      </c>
    </row>
    <row r="503" spans="1:14" x14ac:dyDescent="0.3">
      <c r="A503">
        <v>1026</v>
      </c>
      <c r="B503" s="13">
        <v>45231</v>
      </c>
      <c r="C503" t="s">
        <v>26</v>
      </c>
      <c r="D503" t="s">
        <v>27</v>
      </c>
      <c r="E503">
        <v>7895.13</v>
      </c>
      <c r="F503">
        <v>36</v>
      </c>
      <c r="G503" t="s">
        <v>14</v>
      </c>
      <c r="H503">
        <v>3067.05</v>
      </c>
      <c r="I503">
        <v>3386.33</v>
      </c>
      <c r="J503" t="s">
        <v>15</v>
      </c>
      <c r="K503">
        <v>0.2</v>
      </c>
      <c r="L503" t="s">
        <v>25</v>
      </c>
      <c r="M503" t="s">
        <v>29</v>
      </c>
      <c r="N503" t="s">
        <v>63</v>
      </c>
    </row>
    <row r="504" spans="1:14" x14ac:dyDescent="0.3">
      <c r="A504">
        <v>1016</v>
      </c>
      <c r="B504" s="13">
        <v>44943</v>
      </c>
      <c r="C504" t="s">
        <v>12</v>
      </c>
      <c r="D504" t="s">
        <v>19</v>
      </c>
      <c r="E504">
        <v>4598.0200000000004</v>
      </c>
      <c r="F504">
        <v>21</v>
      </c>
      <c r="G504" t="s">
        <v>28</v>
      </c>
      <c r="H504">
        <v>2863.74</v>
      </c>
      <c r="I504">
        <v>2953.91</v>
      </c>
      <c r="J504" t="s">
        <v>15</v>
      </c>
      <c r="K504">
        <v>0.1</v>
      </c>
      <c r="L504" t="s">
        <v>25</v>
      </c>
      <c r="M504" t="s">
        <v>17</v>
      </c>
      <c r="N504" t="s">
        <v>74</v>
      </c>
    </row>
    <row r="505" spans="1:14" x14ac:dyDescent="0.3">
      <c r="A505">
        <v>1051</v>
      </c>
      <c r="B505" s="13">
        <v>45256</v>
      </c>
      <c r="C505" t="s">
        <v>12</v>
      </c>
      <c r="D505" t="s">
        <v>27</v>
      </c>
      <c r="E505">
        <v>6339.45</v>
      </c>
      <c r="F505">
        <v>8</v>
      </c>
      <c r="G505" t="s">
        <v>22</v>
      </c>
      <c r="H505">
        <v>3970.37</v>
      </c>
      <c r="I505" s="14" t="s">
        <v>195</v>
      </c>
      <c r="J505" t="s">
        <v>15</v>
      </c>
      <c r="K505">
        <v>0.11</v>
      </c>
      <c r="L505" t="s">
        <v>16</v>
      </c>
      <c r="M505" t="s">
        <v>17</v>
      </c>
      <c r="N505" t="s">
        <v>100</v>
      </c>
    </row>
    <row r="506" spans="1:14" x14ac:dyDescent="0.3">
      <c r="A506">
        <v>1086</v>
      </c>
      <c r="B506" s="13">
        <v>44983</v>
      </c>
      <c r="C506" t="s">
        <v>23</v>
      </c>
      <c r="D506" t="s">
        <v>19</v>
      </c>
      <c r="E506">
        <v>2559</v>
      </c>
      <c r="F506">
        <v>5</v>
      </c>
      <c r="G506" t="s">
        <v>28</v>
      </c>
      <c r="H506">
        <v>4934.1000000000004</v>
      </c>
      <c r="I506">
        <v>5191.0200000000004</v>
      </c>
      <c r="J506" t="s">
        <v>15</v>
      </c>
      <c r="K506">
        <v>0.3</v>
      </c>
      <c r="L506" t="s">
        <v>25</v>
      </c>
      <c r="M506" t="s">
        <v>29</v>
      </c>
      <c r="N506" t="s">
        <v>81</v>
      </c>
    </row>
    <row r="507" spans="1:14" x14ac:dyDescent="0.3">
      <c r="A507">
        <v>1057</v>
      </c>
      <c r="B507" s="13">
        <v>45237</v>
      </c>
      <c r="C507" t="s">
        <v>23</v>
      </c>
      <c r="D507" t="s">
        <v>13</v>
      </c>
      <c r="E507">
        <v>7084.06</v>
      </c>
      <c r="F507">
        <v>26</v>
      </c>
      <c r="G507" t="s">
        <v>14</v>
      </c>
      <c r="H507">
        <v>1291.82</v>
      </c>
      <c r="I507" s="14" t="s">
        <v>194</v>
      </c>
      <c r="J507" t="s">
        <v>20</v>
      </c>
      <c r="K507">
        <v>7.0000000000000007E-2</v>
      </c>
      <c r="L507" t="s">
        <v>21</v>
      </c>
      <c r="M507" t="s">
        <v>29</v>
      </c>
      <c r="N507" t="s">
        <v>69</v>
      </c>
    </row>
    <row r="508" spans="1:14" x14ac:dyDescent="0.3">
      <c r="A508">
        <v>1029</v>
      </c>
      <c r="B508" s="13">
        <v>45229</v>
      </c>
      <c r="C508" t="s">
        <v>12</v>
      </c>
      <c r="D508" t="s">
        <v>13</v>
      </c>
      <c r="E508">
        <v>4333.25</v>
      </c>
      <c r="F508">
        <v>16</v>
      </c>
      <c r="G508" t="s">
        <v>28</v>
      </c>
      <c r="H508">
        <v>2572.8000000000002</v>
      </c>
      <c r="I508" s="14" t="s">
        <v>193</v>
      </c>
      <c r="J508" t="s">
        <v>20</v>
      </c>
      <c r="K508">
        <v>0.15</v>
      </c>
      <c r="L508" t="s">
        <v>21</v>
      </c>
      <c r="M508" t="s">
        <v>17</v>
      </c>
      <c r="N508" t="s">
        <v>83</v>
      </c>
    </row>
    <row r="509" spans="1:14" x14ac:dyDescent="0.3">
      <c r="A509">
        <v>1078</v>
      </c>
      <c r="B509" s="13">
        <v>44938</v>
      </c>
      <c r="C509" t="s">
        <v>12</v>
      </c>
      <c r="D509" t="s">
        <v>13</v>
      </c>
      <c r="E509">
        <v>4481.2</v>
      </c>
      <c r="F509">
        <v>36</v>
      </c>
      <c r="G509" t="s">
        <v>22</v>
      </c>
      <c r="H509">
        <v>4548.88</v>
      </c>
      <c r="I509">
        <v>4853.41</v>
      </c>
      <c r="J509" t="s">
        <v>20</v>
      </c>
      <c r="K509">
        <v>0.25</v>
      </c>
      <c r="L509" t="s">
        <v>21</v>
      </c>
      <c r="M509" t="s">
        <v>17</v>
      </c>
      <c r="N509" t="s">
        <v>83</v>
      </c>
    </row>
    <row r="510" spans="1:14" x14ac:dyDescent="0.3">
      <c r="A510">
        <v>1092</v>
      </c>
      <c r="B510" s="13">
        <v>45244</v>
      </c>
      <c r="C510" t="s">
        <v>12</v>
      </c>
      <c r="D510" t="s">
        <v>13</v>
      </c>
      <c r="E510">
        <v>6528.29</v>
      </c>
      <c r="F510">
        <v>28</v>
      </c>
      <c r="G510" t="s">
        <v>14</v>
      </c>
      <c r="H510">
        <v>3936.69</v>
      </c>
      <c r="I510">
        <v>4362.51</v>
      </c>
      <c r="J510" t="s">
        <v>20</v>
      </c>
      <c r="K510">
        <v>7.0000000000000007E-2</v>
      </c>
      <c r="L510" t="s">
        <v>21</v>
      </c>
      <c r="M510" t="s">
        <v>17</v>
      </c>
      <c r="N510" t="s">
        <v>83</v>
      </c>
    </row>
    <row r="511" spans="1:14" x14ac:dyDescent="0.3">
      <c r="A511">
        <v>1069</v>
      </c>
      <c r="B511" s="13">
        <v>45006</v>
      </c>
      <c r="C511" t="s">
        <v>23</v>
      </c>
      <c r="D511" t="s">
        <v>13</v>
      </c>
      <c r="E511">
        <v>9369.18</v>
      </c>
      <c r="F511">
        <v>29</v>
      </c>
      <c r="G511" t="s">
        <v>24</v>
      </c>
      <c r="H511">
        <v>2462.66</v>
      </c>
      <c r="I511" s="14" t="s">
        <v>192</v>
      </c>
      <c r="J511" t="s">
        <v>15</v>
      </c>
      <c r="K511">
        <v>0.12</v>
      </c>
      <c r="L511" t="s">
        <v>21</v>
      </c>
      <c r="M511" t="s">
        <v>29</v>
      </c>
      <c r="N511" t="s">
        <v>69</v>
      </c>
    </row>
    <row r="512" spans="1:14" x14ac:dyDescent="0.3">
      <c r="A512">
        <v>1047</v>
      </c>
      <c r="B512" s="13">
        <v>45142</v>
      </c>
      <c r="C512" t="s">
        <v>12</v>
      </c>
      <c r="D512" t="s">
        <v>27</v>
      </c>
      <c r="E512">
        <v>733.66</v>
      </c>
      <c r="F512">
        <v>47</v>
      </c>
      <c r="G512" t="s">
        <v>14</v>
      </c>
      <c r="H512">
        <v>4729.59</v>
      </c>
      <c r="I512">
        <v>4976.68</v>
      </c>
      <c r="J512" t="s">
        <v>20</v>
      </c>
      <c r="K512">
        <v>0.18</v>
      </c>
      <c r="L512" t="s">
        <v>21</v>
      </c>
      <c r="M512" t="s">
        <v>17</v>
      </c>
      <c r="N512" t="s">
        <v>100</v>
      </c>
    </row>
    <row r="513" spans="1:14" x14ac:dyDescent="0.3">
      <c r="A513">
        <v>1094</v>
      </c>
      <c r="B513" s="13">
        <v>45265</v>
      </c>
      <c r="C513" t="s">
        <v>12</v>
      </c>
      <c r="D513" t="s">
        <v>13</v>
      </c>
      <c r="E513">
        <v>8264.9599999999991</v>
      </c>
      <c r="F513">
        <v>12</v>
      </c>
      <c r="G513" t="s">
        <v>24</v>
      </c>
      <c r="H513">
        <v>333.32</v>
      </c>
      <c r="I513">
        <v>700.25</v>
      </c>
      <c r="J513" t="s">
        <v>20</v>
      </c>
      <c r="K513">
        <v>0.14000000000000001</v>
      </c>
      <c r="L513" t="s">
        <v>16</v>
      </c>
      <c r="M513" t="s">
        <v>29</v>
      </c>
      <c r="N513" t="s">
        <v>83</v>
      </c>
    </row>
    <row r="514" spans="1:14" x14ac:dyDescent="0.3">
      <c r="A514">
        <v>1062</v>
      </c>
      <c r="B514" s="13">
        <v>45190</v>
      </c>
      <c r="C514" t="s">
        <v>18</v>
      </c>
      <c r="D514" t="s">
        <v>30</v>
      </c>
      <c r="E514">
        <v>2994.59</v>
      </c>
      <c r="F514">
        <v>37</v>
      </c>
      <c r="G514" t="s">
        <v>28</v>
      </c>
      <c r="H514">
        <v>4658.4399999999996</v>
      </c>
      <c r="I514">
        <v>4823.5</v>
      </c>
      <c r="J514" t="s">
        <v>20</v>
      </c>
      <c r="K514">
        <v>0.14000000000000001</v>
      </c>
      <c r="L514" t="s">
        <v>21</v>
      </c>
      <c r="M514" t="s">
        <v>29</v>
      </c>
      <c r="N514" t="s">
        <v>64</v>
      </c>
    </row>
    <row r="515" spans="1:14" x14ac:dyDescent="0.3">
      <c r="A515">
        <v>1069</v>
      </c>
      <c r="B515" s="13">
        <v>45075</v>
      </c>
      <c r="C515" t="s">
        <v>26</v>
      </c>
      <c r="D515" t="s">
        <v>30</v>
      </c>
      <c r="E515">
        <v>4494.8</v>
      </c>
      <c r="F515">
        <v>30</v>
      </c>
      <c r="G515" t="s">
        <v>28</v>
      </c>
      <c r="H515">
        <v>300.01</v>
      </c>
      <c r="I515" s="14" t="s">
        <v>191</v>
      </c>
      <c r="J515" t="s">
        <v>15</v>
      </c>
      <c r="K515">
        <v>0.11</v>
      </c>
      <c r="L515" t="s">
        <v>25</v>
      </c>
      <c r="M515" t="s">
        <v>17</v>
      </c>
      <c r="N515" t="s">
        <v>71</v>
      </c>
    </row>
    <row r="516" spans="1:14" x14ac:dyDescent="0.3">
      <c r="A516">
        <v>1076</v>
      </c>
      <c r="B516" s="13">
        <v>45007</v>
      </c>
      <c r="C516" t="s">
        <v>31</v>
      </c>
      <c r="D516" t="s">
        <v>27</v>
      </c>
      <c r="E516">
        <v>316.94</v>
      </c>
      <c r="F516">
        <v>23</v>
      </c>
      <c r="G516" t="s">
        <v>22</v>
      </c>
      <c r="H516">
        <v>2759.16</v>
      </c>
      <c r="I516">
        <v>2864.45</v>
      </c>
      <c r="J516" t="s">
        <v>20</v>
      </c>
      <c r="K516">
        <v>0.18</v>
      </c>
      <c r="L516" t="s">
        <v>21</v>
      </c>
      <c r="M516" t="s">
        <v>17</v>
      </c>
      <c r="N516" t="s">
        <v>86</v>
      </c>
    </row>
    <row r="517" spans="1:14" x14ac:dyDescent="0.3">
      <c r="A517">
        <v>1016</v>
      </c>
      <c r="B517" s="13">
        <v>45141</v>
      </c>
      <c r="C517" t="s">
        <v>26</v>
      </c>
      <c r="D517" t="s">
        <v>19</v>
      </c>
      <c r="E517">
        <v>3080.36</v>
      </c>
      <c r="F517">
        <v>16</v>
      </c>
      <c r="G517" t="s">
        <v>24</v>
      </c>
      <c r="H517">
        <v>4457.68</v>
      </c>
      <c r="I517" s="14" t="s">
        <v>190</v>
      </c>
      <c r="J517" t="s">
        <v>20</v>
      </c>
      <c r="K517">
        <v>0.19</v>
      </c>
      <c r="L517" t="s">
        <v>16</v>
      </c>
      <c r="M517" t="s">
        <v>29</v>
      </c>
      <c r="N517" t="s">
        <v>76</v>
      </c>
    </row>
    <row r="518" spans="1:14" x14ac:dyDescent="0.3">
      <c r="A518">
        <v>1090</v>
      </c>
      <c r="B518" s="13">
        <v>45124</v>
      </c>
      <c r="C518" t="s">
        <v>18</v>
      </c>
      <c r="D518" t="s">
        <v>30</v>
      </c>
      <c r="E518">
        <v>5076.05</v>
      </c>
      <c r="F518">
        <v>14</v>
      </c>
      <c r="G518" t="s">
        <v>28</v>
      </c>
      <c r="H518">
        <v>1350.47</v>
      </c>
      <c r="I518" s="14" t="s">
        <v>189</v>
      </c>
      <c r="J518" t="s">
        <v>15</v>
      </c>
      <c r="K518">
        <v>0.2</v>
      </c>
      <c r="L518" t="s">
        <v>21</v>
      </c>
      <c r="M518" t="s">
        <v>17</v>
      </c>
      <c r="N518" t="s">
        <v>64</v>
      </c>
    </row>
    <row r="519" spans="1:14" x14ac:dyDescent="0.3">
      <c r="A519">
        <v>1090</v>
      </c>
      <c r="B519" s="13">
        <v>45126</v>
      </c>
      <c r="C519" t="s">
        <v>31</v>
      </c>
      <c r="D519" t="s">
        <v>19</v>
      </c>
      <c r="E519">
        <v>656.14</v>
      </c>
      <c r="F519">
        <v>10</v>
      </c>
      <c r="G519" t="s">
        <v>24</v>
      </c>
      <c r="H519">
        <v>2387.63</v>
      </c>
      <c r="I519" s="14" t="s">
        <v>188</v>
      </c>
      <c r="J519" t="s">
        <v>20</v>
      </c>
      <c r="K519">
        <v>0.02</v>
      </c>
      <c r="L519" t="s">
        <v>25</v>
      </c>
      <c r="M519" t="s">
        <v>17</v>
      </c>
      <c r="N519" t="s">
        <v>88</v>
      </c>
    </row>
    <row r="520" spans="1:14" x14ac:dyDescent="0.3">
      <c r="A520">
        <v>1048</v>
      </c>
      <c r="B520" s="13">
        <v>44951</v>
      </c>
      <c r="C520" t="s">
        <v>12</v>
      </c>
      <c r="D520" t="s">
        <v>27</v>
      </c>
      <c r="E520">
        <v>4961.8500000000004</v>
      </c>
      <c r="F520">
        <v>7</v>
      </c>
      <c r="G520" t="s">
        <v>28</v>
      </c>
      <c r="H520">
        <v>1655.43</v>
      </c>
      <c r="I520">
        <v>2001.08</v>
      </c>
      <c r="J520" t="s">
        <v>15</v>
      </c>
      <c r="K520">
        <v>0.19</v>
      </c>
      <c r="L520" t="s">
        <v>25</v>
      </c>
      <c r="M520" t="s">
        <v>29</v>
      </c>
      <c r="N520" t="s">
        <v>100</v>
      </c>
    </row>
    <row r="521" spans="1:14" x14ac:dyDescent="0.3">
      <c r="A521">
        <v>1085</v>
      </c>
      <c r="B521" s="13">
        <v>45015</v>
      </c>
      <c r="C521" t="s">
        <v>18</v>
      </c>
      <c r="D521" t="s">
        <v>19</v>
      </c>
      <c r="E521">
        <v>9278.4</v>
      </c>
      <c r="F521">
        <v>45</v>
      </c>
      <c r="G521" t="s">
        <v>14</v>
      </c>
      <c r="H521">
        <v>4763.1099999999997</v>
      </c>
      <c r="I521">
        <v>5119.91</v>
      </c>
      <c r="J521" t="s">
        <v>20</v>
      </c>
      <c r="K521">
        <v>0.28999999999999998</v>
      </c>
      <c r="L521" t="s">
        <v>16</v>
      </c>
      <c r="M521" t="s">
        <v>17</v>
      </c>
      <c r="N521" t="s">
        <v>56</v>
      </c>
    </row>
    <row r="522" spans="1:14" x14ac:dyDescent="0.3">
      <c r="A522">
        <v>1039</v>
      </c>
      <c r="B522" s="13">
        <v>45194</v>
      </c>
      <c r="C522" t="s">
        <v>12</v>
      </c>
      <c r="D522" t="s">
        <v>19</v>
      </c>
      <c r="E522">
        <v>1143.3900000000001</v>
      </c>
      <c r="F522">
        <v>37</v>
      </c>
      <c r="G522" t="s">
        <v>28</v>
      </c>
      <c r="H522">
        <v>4127.05</v>
      </c>
      <c r="I522">
        <v>4313.45</v>
      </c>
      <c r="J522" t="s">
        <v>15</v>
      </c>
      <c r="K522">
        <v>0.16</v>
      </c>
      <c r="L522" t="s">
        <v>16</v>
      </c>
      <c r="M522" t="s">
        <v>29</v>
      </c>
      <c r="N522" t="s">
        <v>74</v>
      </c>
    </row>
    <row r="523" spans="1:14" x14ac:dyDescent="0.3">
      <c r="A523">
        <v>1100</v>
      </c>
      <c r="B523" s="13">
        <v>45069</v>
      </c>
      <c r="C523" t="s">
        <v>23</v>
      </c>
      <c r="D523" t="s">
        <v>19</v>
      </c>
      <c r="E523">
        <v>7667.96</v>
      </c>
      <c r="F523">
        <v>29</v>
      </c>
      <c r="G523" t="s">
        <v>22</v>
      </c>
      <c r="H523">
        <v>3559.56</v>
      </c>
      <c r="I523">
        <v>3607.15</v>
      </c>
      <c r="J523" t="s">
        <v>20</v>
      </c>
      <c r="K523">
        <v>0.21</v>
      </c>
      <c r="L523" t="s">
        <v>16</v>
      </c>
      <c r="M523" t="s">
        <v>17</v>
      </c>
      <c r="N523" t="s">
        <v>81</v>
      </c>
    </row>
    <row r="524" spans="1:14" x14ac:dyDescent="0.3">
      <c r="A524">
        <v>1033</v>
      </c>
      <c r="B524" s="13">
        <v>44985</v>
      </c>
      <c r="C524" t="s">
        <v>18</v>
      </c>
      <c r="D524" t="s">
        <v>19</v>
      </c>
      <c r="E524">
        <v>4155.74</v>
      </c>
      <c r="F524">
        <v>3</v>
      </c>
      <c r="G524" t="s">
        <v>14</v>
      </c>
      <c r="H524">
        <v>2958.75</v>
      </c>
      <c r="I524">
        <v>3177.64</v>
      </c>
      <c r="J524" t="s">
        <v>20</v>
      </c>
      <c r="K524">
        <v>0.17</v>
      </c>
      <c r="L524" t="s">
        <v>16</v>
      </c>
      <c r="M524" t="s">
        <v>29</v>
      </c>
      <c r="N524" t="s">
        <v>56</v>
      </c>
    </row>
    <row r="525" spans="1:14" x14ac:dyDescent="0.3">
      <c r="A525">
        <v>1094</v>
      </c>
      <c r="B525" s="13">
        <v>45291</v>
      </c>
      <c r="C525" t="s">
        <v>23</v>
      </c>
      <c r="D525" t="s">
        <v>27</v>
      </c>
      <c r="E525">
        <v>6586.22</v>
      </c>
      <c r="F525">
        <v>15</v>
      </c>
      <c r="G525" t="s">
        <v>22</v>
      </c>
      <c r="H525">
        <v>4111.93</v>
      </c>
      <c r="I525">
        <v>4338.67</v>
      </c>
      <c r="J525" t="s">
        <v>20</v>
      </c>
      <c r="K525">
        <v>0.26</v>
      </c>
      <c r="L525" t="s">
        <v>21</v>
      </c>
      <c r="M525" t="s">
        <v>29</v>
      </c>
      <c r="N525" t="s">
        <v>96</v>
      </c>
    </row>
    <row r="526" spans="1:14" x14ac:dyDescent="0.3">
      <c r="A526">
        <v>1023</v>
      </c>
      <c r="B526" s="13">
        <v>44952</v>
      </c>
      <c r="C526" t="s">
        <v>18</v>
      </c>
      <c r="D526" t="s">
        <v>30</v>
      </c>
      <c r="E526">
        <v>2676.34</v>
      </c>
      <c r="F526">
        <v>36</v>
      </c>
      <c r="G526" t="s">
        <v>14</v>
      </c>
      <c r="H526">
        <v>1991.72</v>
      </c>
      <c r="I526">
        <v>2329.37</v>
      </c>
      <c r="J526" t="s">
        <v>15</v>
      </c>
      <c r="K526">
        <v>0.28000000000000003</v>
      </c>
      <c r="L526" t="s">
        <v>21</v>
      </c>
      <c r="M526" t="s">
        <v>17</v>
      </c>
      <c r="N526" t="s">
        <v>64</v>
      </c>
    </row>
    <row r="527" spans="1:14" x14ac:dyDescent="0.3">
      <c r="A527">
        <v>1010</v>
      </c>
      <c r="B527" s="13">
        <v>44973</v>
      </c>
      <c r="C527" t="s">
        <v>18</v>
      </c>
      <c r="D527" t="s">
        <v>13</v>
      </c>
      <c r="E527">
        <v>1678.97</v>
      </c>
      <c r="F527">
        <v>47</v>
      </c>
      <c r="G527" t="s">
        <v>24</v>
      </c>
      <c r="H527">
        <v>2265.38</v>
      </c>
      <c r="I527" s="14" t="s">
        <v>187</v>
      </c>
      <c r="J527" t="s">
        <v>20</v>
      </c>
      <c r="K527">
        <v>0.06</v>
      </c>
      <c r="L527" t="s">
        <v>25</v>
      </c>
      <c r="M527" t="s">
        <v>29</v>
      </c>
      <c r="N527" t="s">
        <v>80</v>
      </c>
    </row>
    <row r="528" spans="1:14" x14ac:dyDescent="0.3">
      <c r="A528">
        <v>1069</v>
      </c>
      <c r="B528" s="13">
        <v>45214</v>
      </c>
      <c r="C528" t="s">
        <v>23</v>
      </c>
      <c r="D528" t="s">
        <v>19</v>
      </c>
      <c r="E528">
        <v>1688.58</v>
      </c>
      <c r="F528">
        <v>46</v>
      </c>
      <c r="G528" t="s">
        <v>22</v>
      </c>
      <c r="H528">
        <v>3663.51</v>
      </c>
      <c r="I528" s="14" t="s">
        <v>186</v>
      </c>
      <c r="J528" t="s">
        <v>15</v>
      </c>
      <c r="K528">
        <v>0.13</v>
      </c>
      <c r="L528" t="s">
        <v>16</v>
      </c>
      <c r="M528" t="s">
        <v>29</v>
      </c>
      <c r="N528" t="s">
        <v>81</v>
      </c>
    </row>
    <row r="529" spans="1:14" x14ac:dyDescent="0.3">
      <c r="A529">
        <v>1100</v>
      </c>
      <c r="B529" s="13">
        <v>45192</v>
      </c>
      <c r="C529" t="s">
        <v>31</v>
      </c>
      <c r="D529" t="s">
        <v>30</v>
      </c>
      <c r="E529">
        <v>797.87</v>
      </c>
      <c r="F529">
        <v>19</v>
      </c>
      <c r="G529" t="s">
        <v>28</v>
      </c>
      <c r="H529">
        <v>1820.89</v>
      </c>
      <c r="I529">
        <v>2257.92</v>
      </c>
      <c r="J529" t="s">
        <v>15</v>
      </c>
      <c r="K529">
        <v>0.12</v>
      </c>
      <c r="L529" t="s">
        <v>16</v>
      </c>
      <c r="M529" t="s">
        <v>17</v>
      </c>
      <c r="N529" t="s">
        <v>62</v>
      </c>
    </row>
    <row r="530" spans="1:14" x14ac:dyDescent="0.3">
      <c r="A530">
        <v>1034</v>
      </c>
      <c r="B530" s="13">
        <v>44942</v>
      </c>
      <c r="C530" t="s">
        <v>26</v>
      </c>
      <c r="D530" t="s">
        <v>30</v>
      </c>
      <c r="E530">
        <v>1937.9</v>
      </c>
      <c r="F530">
        <v>13</v>
      </c>
      <c r="G530" t="s">
        <v>24</v>
      </c>
      <c r="H530">
        <v>366.31</v>
      </c>
      <c r="I530">
        <v>492.68</v>
      </c>
      <c r="J530" t="s">
        <v>15</v>
      </c>
      <c r="K530">
        <v>0.12</v>
      </c>
      <c r="L530" t="s">
        <v>21</v>
      </c>
      <c r="M530" t="s">
        <v>17</v>
      </c>
      <c r="N530" t="s">
        <v>71</v>
      </c>
    </row>
    <row r="531" spans="1:14" x14ac:dyDescent="0.3">
      <c r="A531">
        <v>1052</v>
      </c>
      <c r="B531" s="13">
        <v>45125</v>
      </c>
      <c r="C531" t="s">
        <v>12</v>
      </c>
      <c r="D531" t="s">
        <v>27</v>
      </c>
      <c r="E531">
        <v>6675.77</v>
      </c>
      <c r="F531">
        <v>42</v>
      </c>
      <c r="G531" t="s">
        <v>28</v>
      </c>
      <c r="H531">
        <v>417.96</v>
      </c>
      <c r="I531">
        <v>907.63</v>
      </c>
      <c r="J531" t="s">
        <v>15</v>
      </c>
      <c r="K531">
        <v>0.04</v>
      </c>
      <c r="L531" t="s">
        <v>16</v>
      </c>
      <c r="M531" t="s">
        <v>17</v>
      </c>
      <c r="N531" t="s">
        <v>100</v>
      </c>
    </row>
    <row r="532" spans="1:14" x14ac:dyDescent="0.3">
      <c r="A532">
        <v>1095</v>
      </c>
      <c r="B532" s="13">
        <v>45208</v>
      </c>
      <c r="C532" t="s">
        <v>18</v>
      </c>
      <c r="D532" t="s">
        <v>30</v>
      </c>
      <c r="E532">
        <v>8828.74</v>
      </c>
      <c r="F532">
        <v>21</v>
      </c>
      <c r="G532" t="s">
        <v>14</v>
      </c>
      <c r="H532">
        <v>621.04999999999995</v>
      </c>
      <c r="I532" s="14" t="s">
        <v>185</v>
      </c>
      <c r="J532" t="s">
        <v>20</v>
      </c>
      <c r="K532">
        <v>0.24</v>
      </c>
      <c r="L532" t="s">
        <v>25</v>
      </c>
      <c r="M532" t="s">
        <v>29</v>
      </c>
      <c r="N532" t="s">
        <v>64</v>
      </c>
    </row>
    <row r="533" spans="1:14" x14ac:dyDescent="0.3">
      <c r="A533">
        <v>1010</v>
      </c>
      <c r="B533" s="13">
        <v>45012</v>
      </c>
      <c r="C533" t="s">
        <v>12</v>
      </c>
      <c r="D533" t="s">
        <v>27</v>
      </c>
      <c r="E533">
        <v>8159.84</v>
      </c>
      <c r="F533">
        <v>37</v>
      </c>
      <c r="G533" t="s">
        <v>14</v>
      </c>
      <c r="H533">
        <v>4354.92</v>
      </c>
      <c r="I533">
        <v>4495.88</v>
      </c>
      <c r="J533" t="s">
        <v>20</v>
      </c>
      <c r="K533">
        <v>0.01</v>
      </c>
      <c r="L533" t="s">
        <v>25</v>
      </c>
      <c r="M533" t="s">
        <v>29</v>
      </c>
      <c r="N533" t="s">
        <v>100</v>
      </c>
    </row>
    <row r="534" spans="1:14" x14ac:dyDescent="0.3">
      <c r="A534">
        <v>1019</v>
      </c>
      <c r="B534" s="13">
        <v>45176</v>
      </c>
      <c r="C534" t="s">
        <v>23</v>
      </c>
      <c r="D534" t="s">
        <v>19</v>
      </c>
      <c r="E534">
        <v>6882.83</v>
      </c>
      <c r="F534">
        <v>27</v>
      </c>
      <c r="G534" t="s">
        <v>28</v>
      </c>
      <c r="H534">
        <v>2387.52</v>
      </c>
      <c r="I534">
        <v>2604.06</v>
      </c>
      <c r="J534" t="s">
        <v>20</v>
      </c>
      <c r="K534">
        <v>0.16</v>
      </c>
      <c r="L534" t="s">
        <v>16</v>
      </c>
      <c r="M534" t="s">
        <v>29</v>
      </c>
      <c r="N534" t="s">
        <v>81</v>
      </c>
    </row>
    <row r="535" spans="1:14" x14ac:dyDescent="0.3">
      <c r="A535">
        <v>1058</v>
      </c>
      <c r="B535" s="13">
        <v>45196</v>
      </c>
      <c r="C535" t="s">
        <v>12</v>
      </c>
      <c r="D535" t="s">
        <v>19</v>
      </c>
      <c r="E535">
        <v>1193.28</v>
      </c>
      <c r="F535">
        <v>29</v>
      </c>
      <c r="G535" t="s">
        <v>28</v>
      </c>
      <c r="H535">
        <v>3578.77</v>
      </c>
      <c r="I535">
        <v>3635.02</v>
      </c>
      <c r="J535" t="s">
        <v>15</v>
      </c>
      <c r="K535">
        <v>0.2</v>
      </c>
      <c r="L535" t="s">
        <v>25</v>
      </c>
      <c r="M535" t="s">
        <v>17</v>
      </c>
      <c r="N535" t="s">
        <v>74</v>
      </c>
    </row>
    <row r="536" spans="1:14" x14ac:dyDescent="0.3">
      <c r="A536">
        <v>1096</v>
      </c>
      <c r="B536" s="13">
        <v>45261</v>
      </c>
      <c r="C536" t="s">
        <v>23</v>
      </c>
      <c r="D536" t="s">
        <v>13</v>
      </c>
      <c r="E536">
        <v>2962.96</v>
      </c>
      <c r="F536">
        <v>20</v>
      </c>
      <c r="G536" t="s">
        <v>24</v>
      </c>
      <c r="H536">
        <v>1994.9</v>
      </c>
      <c r="I536">
        <v>2066.5</v>
      </c>
      <c r="J536" t="s">
        <v>20</v>
      </c>
      <c r="K536">
        <v>0.06</v>
      </c>
      <c r="L536" t="s">
        <v>25</v>
      </c>
      <c r="M536" t="s">
        <v>29</v>
      </c>
      <c r="N536" t="s">
        <v>69</v>
      </c>
    </row>
    <row r="537" spans="1:14" x14ac:dyDescent="0.3">
      <c r="A537">
        <v>1001</v>
      </c>
      <c r="B537" s="13">
        <v>45043</v>
      </c>
      <c r="C537" t="s">
        <v>12</v>
      </c>
      <c r="D537" t="s">
        <v>13</v>
      </c>
      <c r="E537">
        <v>3167.09</v>
      </c>
      <c r="F537">
        <v>25</v>
      </c>
      <c r="G537" t="s">
        <v>28</v>
      </c>
      <c r="H537">
        <v>1330.62</v>
      </c>
      <c r="I537" s="14" t="s">
        <v>184</v>
      </c>
      <c r="J537" t="s">
        <v>15</v>
      </c>
      <c r="K537">
        <v>0.27</v>
      </c>
      <c r="L537" t="s">
        <v>21</v>
      </c>
      <c r="M537" t="s">
        <v>29</v>
      </c>
      <c r="N537" t="s">
        <v>83</v>
      </c>
    </row>
    <row r="538" spans="1:14" x14ac:dyDescent="0.3">
      <c r="A538">
        <v>1069</v>
      </c>
      <c r="B538" s="13">
        <v>44933</v>
      </c>
      <c r="C538" t="s">
        <v>26</v>
      </c>
      <c r="D538" t="s">
        <v>13</v>
      </c>
      <c r="E538">
        <v>2574.5700000000002</v>
      </c>
      <c r="F538">
        <v>6</v>
      </c>
      <c r="G538" t="s">
        <v>22</v>
      </c>
      <c r="H538">
        <v>1768.6</v>
      </c>
      <c r="I538">
        <v>2152.1999999999998</v>
      </c>
      <c r="J538" t="s">
        <v>15</v>
      </c>
      <c r="K538">
        <v>0.25</v>
      </c>
      <c r="L538" t="s">
        <v>25</v>
      </c>
      <c r="M538" t="s">
        <v>17</v>
      </c>
      <c r="N538" t="s">
        <v>55</v>
      </c>
    </row>
    <row r="539" spans="1:14" x14ac:dyDescent="0.3">
      <c r="A539">
        <v>1004</v>
      </c>
      <c r="B539" s="13">
        <v>45063</v>
      </c>
      <c r="C539" t="s">
        <v>26</v>
      </c>
      <c r="D539" t="s">
        <v>30</v>
      </c>
      <c r="E539">
        <v>5198.5600000000004</v>
      </c>
      <c r="F539">
        <v>36</v>
      </c>
      <c r="G539" t="s">
        <v>22</v>
      </c>
      <c r="H539">
        <v>3981.2</v>
      </c>
      <c r="I539" s="14" t="s">
        <v>183</v>
      </c>
      <c r="J539" t="s">
        <v>15</v>
      </c>
      <c r="K539">
        <v>0.14000000000000001</v>
      </c>
      <c r="L539" t="s">
        <v>16</v>
      </c>
      <c r="M539" t="s">
        <v>29</v>
      </c>
      <c r="N539" t="s">
        <v>71</v>
      </c>
    </row>
    <row r="540" spans="1:14" x14ac:dyDescent="0.3">
      <c r="A540">
        <v>1016</v>
      </c>
      <c r="B540" s="13">
        <v>45102</v>
      </c>
      <c r="C540" t="s">
        <v>26</v>
      </c>
      <c r="D540" t="s">
        <v>19</v>
      </c>
      <c r="E540">
        <v>5401.98</v>
      </c>
      <c r="F540">
        <v>2</v>
      </c>
      <c r="G540" t="s">
        <v>28</v>
      </c>
      <c r="H540">
        <v>3144.82</v>
      </c>
      <c r="I540">
        <v>3480.58</v>
      </c>
      <c r="J540" t="s">
        <v>20</v>
      </c>
      <c r="K540">
        <v>0.12</v>
      </c>
      <c r="L540" t="s">
        <v>16</v>
      </c>
      <c r="M540" t="s">
        <v>17</v>
      </c>
      <c r="N540" t="s">
        <v>76</v>
      </c>
    </row>
    <row r="541" spans="1:14" x14ac:dyDescent="0.3">
      <c r="A541">
        <v>1024</v>
      </c>
      <c r="B541" s="13">
        <v>45254</v>
      </c>
      <c r="C541" t="s">
        <v>26</v>
      </c>
      <c r="D541" t="s">
        <v>27</v>
      </c>
      <c r="E541">
        <v>3633.17</v>
      </c>
      <c r="F541">
        <v>22</v>
      </c>
      <c r="G541" t="s">
        <v>22</v>
      </c>
      <c r="H541">
        <v>4691.32</v>
      </c>
      <c r="I541">
        <v>4752.88</v>
      </c>
      <c r="J541" t="s">
        <v>20</v>
      </c>
      <c r="K541">
        <v>7.0000000000000007E-2</v>
      </c>
      <c r="L541" t="s">
        <v>25</v>
      </c>
      <c r="M541" t="s">
        <v>17</v>
      </c>
      <c r="N541" t="s">
        <v>63</v>
      </c>
    </row>
    <row r="542" spans="1:14" x14ac:dyDescent="0.3">
      <c r="A542">
        <v>1080</v>
      </c>
      <c r="B542" s="13">
        <v>45241</v>
      </c>
      <c r="C542" t="s">
        <v>26</v>
      </c>
      <c r="D542" t="s">
        <v>13</v>
      </c>
      <c r="E542">
        <v>3602.51</v>
      </c>
      <c r="F542">
        <v>32</v>
      </c>
      <c r="G542" t="s">
        <v>28</v>
      </c>
      <c r="H542">
        <v>3414.54</v>
      </c>
      <c r="I542">
        <v>3753.83</v>
      </c>
      <c r="J542" t="s">
        <v>15</v>
      </c>
      <c r="K542">
        <v>0.22</v>
      </c>
      <c r="L542" t="s">
        <v>16</v>
      </c>
      <c r="M542" t="s">
        <v>17</v>
      </c>
      <c r="N542" t="s">
        <v>55</v>
      </c>
    </row>
    <row r="543" spans="1:14" x14ac:dyDescent="0.3">
      <c r="A543">
        <v>1002</v>
      </c>
      <c r="B543" s="13">
        <v>45141</v>
      </c>
      <c r="C543" t="s">
        <v>26</v>
      </c>
      <c r="D543" t="s">
        <v>27</v>
      </c>
      <c r="E543">
        <v>8302.7000000000007</v>
      </c>
      <c r="F543">
        <v>16</v>
      </c>
      <c r="G543" t="s">
        <v>24</v>
      </c>
      <c r="H543">
        <v>2872.4</v>
      </c>
      <c r="I543">
        <v>3193.76</v>
      </c>
      <c r="J543" t="s">
        <v>20</v>
      </c>
      <c r="K543">
        <v>0.04</v>
      </c>
      <c r="L543" t="s">
        <v>21</v>
      </c>
      <c r="M543" t="s">
        <v>29</v>
      </c>
      <c r="N543" t="s">
        <v>63</v>
      </c>
    </row>
    <row r="544" spans="1:14" x14ac:dyDescent="0.3">
      <c r="A544">
        <v>1092</v>
      </c>
      <c r="B544" s="13">
        <v>45008</v>
      </c>
      <c r="C544" t="s">
        <v>23</v>
      </c>
      <c r="D544" t="s">
        <v>27</v>
      </c>
      <c r="E544">
        <v>7914</v>
      </c>
      <c r="F544">
        <v>18</v>
      </c>
      <c r="G544" t="s">
        <v>22</v>
      </c>
      <c r="H544">
        <v>3070.47</v>
      </c>
      <c r="I544">
        <v>3475.29</v>
      </c>
      <c r="J544" t="s">
        <v>20</v>
      </c>
      <c r="K544">
        <v>0.2</v>
      </c>
      <c r="L544" t="s">
        <v>25</v>
      </c>
      <c r="M544" t="s">
        <v>29</v>
      </c>
      <c r="N544" t="s">
        <v>96</v>
      </c>
    </row>
    <row r="545" spans="1:14" x14ac:dyDescent="0.3">
      <c r="A545">
        <v>1032</v>
      </c>
      <c r="B545" s="13">
        <v>45149</v>
      </c>
      <c r="C545" t="s">
        <v>18</v>
      </c>
      <c r="D545" t="s">
        <v>13</v>
      </c>
      <c r="E545">
        <v>3147.18</v>
      </c>
      <c r="F545">
        <v>5</v>
      </c>
      <c r="G545" t="s">
        <v>22</v>
      </c>
      <c r="H545">
        <v>4714.74</v>
      </c>
      <c r="I545">
        <v>5129.1099999999997</v>
      </c>
      <c r="J545" t="s">
        <v>15</v>
      </c>
      <c r="K545">
        <v>0.25</v>
      </c>
      <c r="L545" t="s">
        <v>25</v>
      </c>
      <c r="M545" t="s">
        <v>29</v>
      </c>
      <c r="N545" t="s">
        <v>80</v>
      </c>
    </row>
    <row r="546" spans="1:14" x14ac:dyDescent="0.3">
      <c r="A546">
        <v>1091</v>
      </c>
      <c r="B546" s="13">
        <v>45029</v>
      </c>
      <c r="C546" t="s">
        <v>12</v>
      </c>
      <c r="D546" t="s">
        <v>19</v>
      </c>
      <c r="E546">
        <v>9146.51</v>
      </c>
      <c r="F546">
        <v>36</v>
      </c>
      <c r="G546" t="s">
        <v>28</v>
      </c>
      <c r="H546">
        <v>3951.59</v>
      </c>
      <c r="I546">
        <v>4387.01</v>
      </c>
      <c r="J546" t="s">
        <v>15</v>
      </c>
      <c r="K546">
        <v>7.0000000000000007E-2</v>
      </c>
      <c r="L546" t="s">
        <v>25</v>
      </c>
      <c r="M546" t="s">
        <v>17</v>
      </c>
      <c r="N546" t="s">
        <v>74</v>
      </c>
    </row>
    <row r="547" spans="1:14" x14ac:dyDescent="0.3">
      <c r="A547">
        <v>1084</v>
      </c>
      <c r="B547" s="13">
        <v>45199</v>
      </c>
      <c r="C547" t="s">
        <v>26</v>
      </c>
      <c r="D547" t="s">
        <v>13</v>
      </c>
      <c r="E547">
        <v>9532.8700000000008</v>
      </c>
      <c r="F547">
        <v>30</v>
      </c>
      <c r="G547" t="s">
        <v>22</v>
      </c>
      <c r="H547">
        <v>169</v>
      </c>
      <c r="I547" s="14" t="s">
        <v>182</v>
      </c>
      <c r="J547" t="s">
        <v>20</v>
      </c>
      <c r="K547">
        <v>0.26</v>
      </c>
      <c r="L547" t="s">
        <v>16</v>
      </c>
      <c r="M547" t="s">
        <v>17</v>
      </c>
      <c r="N547" t="s">
        <v>55</v>
      </c>
    </row>
    <row r="548" spans="1:14" x14ac:dyDescent="0.3">
      <c r="A548">
        <v>1024</v>
      </c>
      <c r="B548" s="13">
        <v>44940</v>
      </c>
      <c r="C548" t="s">
        <v>23</v>
      </c>
      <c r="D548" t="s">
        <v>27</v>
      </c>
      <c r="E548">
        <v>3334.75</v>
      </c>
      <c r="F548">
        <v>45</v>
      </c>
      <c r="G548" t="s">
        <v>14</v>
      </c>
      <c r="H548">
        <v>2693.99</v>
      </c>
      <c r="I548" s="14" t="s">
        <v>181</v>
      </c>
      <c r="J548" t="s">
        <v>15</v>
      </c>
      <c r="K548">
        <v>0.01</v>
      </c>
      <c r="L548" t="s">
        <v>16</v>
      </c>
      <c r="M548" t="s">
        <v>17</v>
      </c>
      <c r="N548" t="s">
        <v>96</v>
      </c>
    </row>
    <row r="549" spans="1:14" x14ac:dyDescent="0.3">
      <c r="A549">
        <v>1012</v>
      </c>
      <c r="B549" s="13">
        <v>45085</v>
      </c>
      <c r="C549" t="s">
        <v>23</v>
      </c>
      <c r="D549" t="s">
        <v>13</v>
      </c>
      <c r="E549">
        <v>3608.81</v>
      </c>
      <c r="F549">
        <v>19</v>
      </c>
      <c r="G549" t="s">
        <v>24</v>
      </c>
      <c r="H549">
        <v>3457.28</v>
      </c>
      <c r="I549" s="14" t="s">
        <v>180</v>
      </c>
      <c r="J549" t="s">
        <v>15</v>
      </c>
      <c r="K549">
        <v>0.27</v>
      </c>
      <c r="L549" t="s">
        <v>25</v>
      </c>
      <c r="M549" t="s">
        <v>29</v>
      </c>
      <c r="N549" t="s">
        <v>69</v>
      </c>
    </row>
    <row r="550" spans="1:14" x14ac:dyDescent="0.3">
      <c r="A550">
        <v>1050</v>
      </c>
      <c r="B550" s="13">
        <v>45078</v>
      </c>
      <c r="C550" t="s">
        <v>23</v>
      </c>
      <c r="D550" t="s">
        <v>27</v>
      </c>
      <c r="E550">
        <v>5105.78</v>
      </c>
      <c r="F550">
        <v>23</v>
      </c>
      <c r="G550" t="s">
        <v>24</v>
      </c>
      <c r="H550">
        <v>3756.06</v>
      </c>
      <c r="I550">
        <v>4255.7299999999996</v>
      </c>
      <c r="J550" t="s">
        <v>20</v>
      </c>
      <c r="K550">
        <v>0.04</v>
      </c>
      <c r="L550" t="s">
        <v>16</v>
      </c>
      <c r="M550" t="s">
        <v>29</v>
      </c>
      <c r="N550" t="s">
        <v>96</v>
      </c>
    </row>
    <row r="551" spans="1:14" x14ac:dyDescent="0.3">
      <c r="A551">
        <v>1035</v>
      </c>
      <c r="B551" s="13">
        <v>45034</v>
      </c>
      <c r="C551" t="s">
        <v>18</v>
      </c>
      <c r="D551" t="s">
        <v>27</v>
      </c>
      <c r="E551">
        <v>9417.1</v>
      </c>
      <c r="F551">
        <v>34</v>
      </c>
      <c r="G551" t="s">
        <v>22</v>
      </c>
      <c r="H551">
        <v>1105.05</v>
      </c>
      <c r="I551">
        <v>1200.96</v>
      </c>
      <c r="J551" t="s">
        <v>20</v>
      </c>
      <c r="K551">
        <v>0.19</v>
      </c>
      <c r="L551" t="s">
        <v>16</v>
      </c>
      <c r="M551" t="s">
        <v>29</v>
      </c>
      <c r="N551" t="s">
        <v>58</v>
      </c>
    </row>
    <row r="552" spans="1:14" x14ac:dyDescent="0.3">
      <c r="A552">
        <v>1033</v>
      </c>
      <c r="B552" s="13">
        <v>45114</v>
      </c>
      <c r="C552" t="s">
        <v>12</v>
      </c>
      <c r="D552" t="s">
        <v>13</v>
      </c>
      <c r="E552">
        <v>8775.56</v>
      </c>
      <c r="F552">
        <v>13</v>
      </c>
      <c r="G552" t="s">
        <v>22</v>
      </c>
      <c r="H552">
        <v>4342.53</v>
      </c>
      <c r="I552">
        <v>4357.49</v>
      </c>
      <c r="J552" t="s">
        <v>15</v>
      </c>
      <c r="K552">
        <v>0.08</v>
      </c>
      <c r="L552" t="s">
        <v>25</v>
      </c>
      <c r="M552" t="s">
        <v>29</v>
      </c>
      <c r="N552" t="s">
        <v>83</v>
      </c>
    </row>
    <row r="553" spans="1:14" x14ac:dyDescent="0.3">
      <c r="A553">
        <v>1033</v>
      </c>
      <c r="B553" s="13">
        <v>45227</v>
      </c>
      <c r="C553" t="s">
        <v>18</v>
      </c>
      <c r="D553" t="s">
        <v>30</v>
      </c>
      <c r="E553">
        <v>1115.42</v>
      </c>
      <c r="F553">
        <v>43</v>
      </c>
      <c r="G553" t="s">
        <v>14</v>
      </c>
      <c r="H553">
        <v>4781.42</v>
      </c>
      <c r="I553">
        <v>4864.34</v>
      </c>
      <c r="J553" t="s">
        <v>20</v>
      </c>
      <c r="K553">
        <v>0.25</v>
      </c>
      <c r="L553" t="s">
        <v>25</v>
      </c>
      <c r="M553" t="s">
        <v>29</v>
      </c>
      <c r="N553" t="s">
        <v>64</v>
      </c>
    </row>
    <row r="554" spans="1:14" x14ac:dyDescent="0.3">
      <c r="A554">
        <v>1061</v>
      </c>
      <c r="B554" s="13">
        <v>45024</v>
      </c>
      <c r="C554" t="s">
        <v>31</v>
      </c>
      <c r="D554" t="s">
        <v>13</v>
      </c>
      <c r="E554">
        <v>3988.03</v>
      </c>
      <c r="F554">
        <v>29</v>
      </c>
      <c r="G554" t="s">
        <v>14</v>
      </c>
      <c r="H554">
        <v>1221.74</v>
      </c>
      <c r="I554">
        <v>1611.92</v>
      </c>
      <c r="J554" t="s">
        <v>15</v>
      </c>
      <c r="K554">
        <v>0.15</v>
      </c>
      <c r="L554" t="s">
        <v>16</v>
      </c>
      <c r="M554" t="s">
        <v>17</v>
      </c>
      <c r="N554" t="s">
        <v>67</v>
      </c>
    </row>
    <row r="555" spans="1:14" x14ac:dyDescent="0.3">
      <c r="A555">
        <v>1051</v>
      </c>
      <c r="B555" s="13">
        <v>45057</v>
      </c>
      <c r="C555" t="s">
        <v>23</v>
      </c>
      <c r="D555" t="s">
        <v>30</v>
      </c>
      <c r="E555">
        <v>5578.37</v>
      </c>
      <c r="F555">
        <v>36</v>
      </c>
      <c r="G555" t="s">
        <v>22</v>
      </c>
      <c r="H555">
        <v>4418.95</v>
      </c>
      <c r="I555">
        <v>4647.87</v>
      </c>
      <c r="J555" t="s">
        <v>15</v>
      </c>
      <c r="K555">
        <v>0.04</v>
      </c>
      <c r="L555" t="s">
        <v>25</v>
      </c>
      <c r="M555" t="s">
        <v>29</v>
      </c>
      <c r="N555" t="s">
        <v>60</v>
      </c>
    </row>
    <row r="556" spans="1:14" x14ac:dyDescent="0.3">
      <c r="A556">
        <v>1043</v>
      </c>
      <c r="B556" s="13">
        <v>45219</v>
      </c>
      <c r="C556" t="s">
        <v>31</v>
      </c>
      <c r="D556" t="s">
        <v>27</v>
      </c>
      <c r="E556">
        <v>5081.01</v>
      </c>
      <c r="F556">
        <v>22</v>
      </c>
      <c r="G556" t="s">
        <v>22</v>
      </c>
      <c r="H556">
        <v>530.04</v>
      </c>
      <c r="I556" s="14" t="s">
        <v>179</v>
      </c>
      <c r="J556" t="s">
        <v>20</v>
      </c>
      <c r="K556">
        <v>0.17</v>
      </c>
      <c r="L556" t="s">
        <v>25</v>
      </c>
      <c r="M556" t="s">
        <v>17</v>
      </c>
      <c r="N556" t="s">
        <v>86</v>
      </c>
    </row>
    <row r="557" spans="1:14" x14ac:dyDescent="0.3">
      <c r="A557">
        <v>1012</v>
      </c>
      <c r="B557" s="13">
        <v>45097</v>
      </c>
      <c r="C557" t="s">
        <v>26</v>
      </c>
      <c r="D557" t="s">
        <v>27</v>
      </c>
      <c r="E557">
        <v>2019.24</v>
      </c>
      <c r="F557">
        <v>47</v>
      </c>
      <c r="G557" t="s">
        <v>14</v>
      </c>
      <c r="H557">
        <v>325.75</v>
      </c>
      <c r="I557">
        <v>803.71</v>
      </c>
      <c r="J557" t="s">
        <v>15</v>
      </c>
      <c r="K557">
        <v>0.12</v>
      </c>
      <c r="L557" t="s">
        <v>25</v>
      </c>
      <c r="M557" t="s">
        <v>17</v>
      </c>
      <c r="N557" t="s">
        <v>63</v>
      </c>
    </row>
    <row r="558" spans="1:14" x14ac:dyDescent="0.3">
      <c r="A558">
        <v>1067</v>
      </c>
      <c r="B558" s="13">
        <v>45109</v>
      </c>
      <c r="C558" t="s">
        <v>26</v>
      </c>
      <c r="D558" t="s">
        <v>30</v>
      </c>
      <c r="E558">
        <v>8602.2900000000009</v>
      </c>
      <c r="F558">
        <v>36</v>
      </c>
      <c r="G558" t="s">
        <v>28</v>
      </c>
      <c r="H558">
        <v>689.66</v>
      </c>
      <c r="I558">
        <v>1150.28</v>
      </c>
      <c r="J558" t="s">
        <v>15</v>
      </c>
      <c r="K558">
        <v>0.2</v>
      </c>
      <c r="L558" t="s">
        <v>25</v>
      </c>
      <c r="M558" t="s">
        <v>29</v>
      </c>
      <c r="N558" t="s">
        <v>71</v>
      </c>
    </row>
    <row r="559" spans="1:14" x14ac:dyDescent="0.3">
      <c r="A559">
        <v>1065</v>
      </c>
      <c r="B559" s="13">
        <v>45290</v>
      </c>
      <c r="C559" t="s">
        <v>18</v>
      </c>
      <c r="D559" t="s">
        <v>27</v>
      </c>
      <c r="E559">
        <v>6801.71</v>
      </c>
      <c r="F559">
        <v>9</v>
      </c>
      <c r="G559" t="s">
        <v>14</v>
      </c>
      <c r="H559">
        <v>335.82</v>
      </c>
      <c r="I559">
        <v>498.31</v>
      </c>
      <c r="J559" t="s">
        <v>15</v>
      </c>
      <c r="K559">
        <v>0.26</v>
      </c>
      <c r="L559" t="s">
        <v>16</v>
      </c>
      <c r="M559" t="s">
        <v>17</v>
      </c>
      <c r="N559" t="s">
        <v>58</v>
      </c>
    </row>
    <row r="560" spans="1:14" x14ac:dyDescent="0.3">
      <c r="A560">
        <v>1033</v>
      </c>
      <c r="B560" s="13">
        <v>44965</v>
      </c>
      <c r="C560" t="s">
        <v>12</v>
      </c>
      <c r="D560" t="s">
        <v>30</v>
      </c>
      <c r="E560">
        <v>8395.2900000000009</v>
      </c>
      <c r="F560">
        <v>39</v>
      </c>
      <c r="G560" t="s">
        <v>28</v>
      </c>
      <c r="H560">
        <v>4232.8100000000004</v>
      </c>
      <c r="I560">
        <v>4345.25</v>
      </c>
      <c r="J560" t="s">
        <v>20</v>
      </c>
      <c r="K560">
        <v>0.12</v>
      </c>
      <c r="L560" t="s">
        <v>25</v>
      </c>
      <c r="M560" t="s">
        <v>29</v>
      </c>
      <c r="N560" t="s">
        <v>72</v>
      </c>
    </row>
    <row r="561" spans="1:14" x14ac:dyDescent="0.3">
      <c r="A561">
        <v>1040</v>
      </c>
      <c r="B561" s="13">
        <v>44941</v>
      </c>
      <c r="C561" t="s">
        <v>31</v>
      </c>
      <c r="D561" t="s">
        <v>30</v>
      </c>
      <c r="E561">
        <v>8601.77</v>
      </c>
      <c r="F561">
        <v>19</v>
      </c>
      <c r="G561" t="s">
        <v>24</v>
      </c>
      <c r="H561">
        <v>342.3</v>
      </c>
      <c r="I561">
        <v>768.06</v>
      </c>
      <c r="J561" t="s">
        <v>20</v>
      </c>
      <c r="K561">
        <v>0.09</v>
      </c>
      <c r="L561" t="s">
        <v>21</v>
      </c>
      <c r="M561" t="s">
        <v>29</v>
      </c>
      <c r="N561" t="s">
        <v>62</v>
      </c>
    </row>
    <row r="562" spans="1:14" x14ac:dyDescent="0.3">
      <c r="A562">
        <v>1074</v>
      </c>
      <c r="B562" s="13">
        <v>44930</v>
      </c>
      <c r="C562" t="s">
        <v>12</v>
      </c>
      <c r="D562" t="s">
        <v>27</v>
      </c>
      <c r="E562">
        <v>7508.72</v>
      </c>
      <c r="F562">
        <v>38</v>
      </c>
      <c r="G562" t="s">
        <v>24</v>
      </c>
      <c r="H562">
        <v>1394.74</v>
      </c>
      <c r="I562">
        <v>1848.69</v>
      </c>
      <c r="J562" t="s">
        <v>20</v>
      </c>
      <c r="K562">
        <v>0</v>
      </c>
      <c r="L562" t="s">
        <v>25</v>
      </c>
      <c r="M562" t="s">
        <v>17</v>
      </c>
      <c r="N562" t="s">
        <v>100</v>
      </c>
    </row>
    <row r="563" spans="1:14" x14ac:dyDescent="0.3">
      <c r="A563">
        <v>1043</v>
      </c>
      <c r="B563" s="13">
        <v>45275</v>
      </c>
      <c r="C563" t="s">
        <v>18</v>
      </c>
      <c r="D563" t="s">
        <v>19</v>
      </c>
      <c r="E563">
        <v>4448.18</v>
      </c>
      <c r="F563">
        <v>6</v>
      </c>
      <c r="G563" t="s">
        <v>14</v>
      </c>
      <c r="H563">
        <v>563.59</v>
      </c>
      <c r="I563">
        <v>838.97</v>
      </c>
      <c r="J563" t="s">
        <v>15</v>
      </c>
      <c r="K563">
        <v>0.17</v>
      </c>
      <c r="L563" t="s">
        <v>21</v>
      </c>
      <c r="M563" t="s">
        <v>29</v>
      </c>
      <c r="N563" t="s">
        <v>56</v>
      </c>
    </row>
    <row r="564" spans="1:14" x14ac:dyDescent="0.3">
      <c r="A564">
        <v>1044</v>
      </c>
      <c r="B564" s="13">
        <v>45136</v>
      </c>
      <c r="C564" t="s">
        <v>26</v>
      </c>
      <c r="D564" t="s">
        <v>30</v>
      </c>
      <c r="E564">
        <v>6144.41</v>
      </c>
      <c r="F564">
        <v>47</v>
      </c>
      <c r="G564" t="s">
        <v>28</v>
      </c>
      <c r="H564">
        <v>1512.34</v>
      </c>
      <c r="I564">
        <v>1830.76</v>
      </c>
      <c r="J564" t="s">
        <v>15</v>
      </c>
      <c r="K564">
        <v>0.12</v>
      </c>
      <c r="L564" t="s">
        <v>25</v>
      </c>
      <c r="M564" t="s">
        <v>29</v>
      </c>
      <c r="N564" t="s">
        <v>71</v>
      </c>
    </row>
    <row r="565" spans="1:14" x14ac:dyDescent="0.3">
      <c r="A565">
        <v>1029</v>
      </c>
      <c r="B565" s="13">
        <v>45087</v>
      </c>
      <c r="C565" t="s">
        <v>12</v>
      </c>
      <c r="D565" t="s">
        <v>13</v>
      </c>
      <c r="E565">
        <v>1687.62</v>
      </c>
      <c r="F565">
        <v>15</v>
      </c>
      <c r="G565" t="s">
        <v>14</v>
      </c>
      <c r="H565">
        <v>498.27</v>
      </c>
      <c r="I565">
        <v>634.16</v>
      </c>
      <c r="J565" t="s">
        <v>20</v>
      </c>
      <c r="K565">
        <v>0.11</v>
      </c>
      <c r="L565" t="s">
        <v>21</v>
      </c>
      <c r="M565" t="s">
        <v>17</v>
      </c>
      <c r="N565" t="s">
        <v>83</v>
      </c>
    </row>
    <row r="566" spans="1:14" x14ac:dyDescent="0.3">
      <c r="A566">
        <v>1013</v>
      </c>
      <c r="B566" s="13">
        <v>44942</v>
      </c>
      <c r="C566" t="s">
        <v>12</v>
      </c>
      <c r="D566" t="s">
        <v>13</v>
      </c>
      <c r="E566">
        <v>6769.09</v>
      </c>
      <c r="F566">
        <v>20</v>
      </c>
      <c r="G566" t="s">
        <v>14</v>
      </c>
      <c r="H566">
        <v>3356.62</v>
      </c>
      <c r="I566" s="14" t="s">
        <v>178</v>
      </c>
      <c r="J566" t="s">
        <v>20</v>
      </c>
      <c r="K566">
        <v>0.05</v>
      </c>
      <c r="L566" t="s">
        <v>21</v>
      </c>
      <c r="M566" t="s">
        <v>17</v>
      </c>
      <c r="N566" t="s">
        <v>83</v>
      </c>
    </row>
    <row r="567" spans="1:14" x14ac:dyDescent="0.3">
      <c r="A567">
        <v>1012</v>
      </c>
      <c r="B567" s="13">
        <v>45034</v>
      </c>
      <c r="C567" t="s">
        <v>26</v>
      </c>
      <c r="D567" t="s">
        <v>27</v>
      </c>
      <c r="E567">
        <v>1874.61</v>
      </c>
      <c r="F567">
        <v>9</v>
      </c>
      <c r="G567" t="s">
        <v>28</v>
      </c>
      <c r="H567">
        <v>709.97</v>
      </c>
      <c r="I567">
        <v>1029.71</v>
      </c>
      <c r="J567" t="s">
        <v>20</v>
      </c>
      <c r="K567">
        <v>0.13</v>
      </c>
      <c r="L567" t="s">
        <v>25</v>
      </c>
      <c r="M567" t="s">
        <v>17</v>
      </c>
      <c r="N567" t="s">
        <v>63</v>
      </c>
    </row>
    <row r="568" spans="1:14" x14ac:dyDescent="0.3">
      <c r="A568">
        <v>1095</v>
      </c>
      <c r="B568" s="13">
        <v>45237</v>
      </c>
      <c r="C568" t="s">
        <v>31</v>
      </c>
      <c r="D568" t="s">
        <v>19</v>
      </c>
      <c r="E568">
        <v>6970.1</v>
      </c>
      <c r="F568">
        <v>32</v>
      </c>
      <c r="G568" t="s">
        <v>14</v>
      </c>
      <c r="H568">
        <v>4266.6400000000003</v>
      </c>
      <c r="I568" s="14" t="s">
        <v>177</v>
      </c>
      <c r="J568" t="s">
        <v>15</v>
      </c>
      <c r="K568">
        <v>0.3</v>
      </c>
      <c r="L568" t="s">
        <v>25</v>
      </c>
      <c r="M568" t="s">
        <v>17</v>
      </c>
      <c r="N568" t="s">
        <v>88</v>
      </c>
    </row>
    <row r="569" spans="1:14" x14ac:dyDescent="0.3">
      <c r="A569">
        <v>1046</v>
      </c>
      <c r="B569" s="13">
        <v>45153</v>
      </c>
      <c r="C569" t="s">
        <v>26</v>
      </c>
      <c r="D569" t="s">
        <v>27</v>
      </c>
      <c r="E569">
        <v>2373.02</v>
      </c>
      <c r="F569">
        <v>4</v>
      </c>
      <c r="G569" t="s">
        <v>24</v>
      </c>
      <c r="H569">
        <v>4095.1</v>
      </c>
      <c r="I569">
        <v>4134.55</v>
      </c>
      <c r="J569" t="s">
        <v>20</v>
      </c>
      <c r="K569">
        <v>0.09</v>
      </c>
      <c r="L569" t="s">
        <v>25</v>
      </c>
      <c r="M569" t="s">
        <v>17</v>
      </c>
      <c r="N569" t="s">
        <v>63</v>
      </c>
    </row>
    <row r="570" spans="1:14" x14ac:dyDescent="0.3">
      <c r="A570">
        <v>1002</v>
      </c>
      <c r="B570" s="13">
        <v>45096</v>
      </c>
      <c r="C570" t="s">
        <v>12</v>
      </c>
      <c r="D570" t="s">
        <v>19</v>
      </c>
      <c r="E570">
        <v>1263.76</v>
      </c>
      <c r="F570">
        <v>18</v>
      </c>
      <c r="G570" t="s">
        <v>22</v>
      </c>
      <c r="H570">
        <v>117.63</v>
      </c>
      <c r="I570">
        <v>576.44000000000005</v>
      </c>
      <c r="J570" t="s">
        <v>15</v>
      </c>
      <c r="K570">
        <v>0.18</v>
      </c>
      <c r="L570" t="s">
        <v>21</v>
      </c>
      <c r="M570" t="s">
        <v>17</v>
      </c>
      <c r="N570" t="s">
        <v>74</v>
      </c>
    </row>
    <row r="571" spans="1:14" x14ac:dyDescent="0.3">
      <c r="A571">
        <v>1035</v>
      </c>
      <c r="B571" s="13">
        <v>44960</v>
      </c>
      <c r="C571" t="s">
        <v>31</v>
      </c>
      <c r="D571" t="s">
        <v>30</v>
      </c>
      <c r="E571">
        <v>1736.32</v>
      </c>
      <c r="F571">
        <v>5</v>
      </c>
      <c r="G571" t="s">
        <v>22</v>
      </c>
      <c r="H571">
        <v>4483.8500000000004</v>
      </c>
      <c r="I571">
        <v>4795.42</v>
      </c>
      <c r="J571" t="s">
        <v>20</v>
      </c>
      <c r="K571">
        <v>0.23</v>
      </c>
      <c r="L571" t="s">
        <v>16</v>
      </c>
      <c r="M571" t="s">
        <v>29</v>
      </c>
      <c r="N571" t="s">
        <v>62</v>
      </c>
    </row>
    <row r="572" spans="1:14" x14ac:dyDescent="0.3">
      <c r="A572">
        <v>1087</v>
      </c>
      <c r="B572" s="13">
        <v>45177</v>
      </c>
      <c r="C572" t="s">
        <v>31</v>
      </c>
      <c r="D572" t="s">
        <v>30</v>
      </c>
      <c r="E572">
        <v>119.72</v>
      </c>
      <c r="F572">
        <v>20</v>
      </c>
      <c r="G572" t="s">
        <v>14</v>
      </c>
      <c r="H572">
        <v>193.27</v>
      </c>
      <c r="I572">
        <v>297.69</v>
      </c>
      <c r="J572" t="s">
        <v>15</v>
      </c>
      <c r="K572">
        <v>0.22</v>
      </c>
      <c r="L572" t="s">
        <v>16</v>
      </c>
      <c r="M572" t="s">
        <v>29</v>
      </c>
      <c r="N572" t="s">
        <v>62</v>
      </c>
    </row>
    <row r="573" spans="1:14" x14ac:dyDescent="0.3">
      <c r="A573">
        <v>1081</v>
      </c>
      <c r="B573" s="13">
        <v>45173</v>
      </c>
      <c r="C573" t="s">
        <v>26</v>
      </c>
      <c r="D573" t="s">
        <v>30</v>
      </c>
      <c r="E573">
        <v>7215.52</v>
      </c>
      <c r="F573">
        <v>23</v>
      </c>
      <c r="G573" t="s">
        <v>28</v>
      </c>
      <c r="H573">
        <v>1236.25</v>
      </c>
      <c r="I573">
        <v>1543.38</v>
      </c>
      <c r="J573" t="s">
        <v>15</v>
      </c>
      <c r="K573">
        <v>0.1</v>
      </c>
      <c r="L573" t="s">
        <v>25</v>
      </c>
      <c r="M573" t="s">
        <v>29</v>
      </c>
      <c r="N573" t="s">
        <v>71</v>
      </c>
    </row>
    <row r="574" spans="1:14" x14ac:dyDescent="0.3">
      <c r="A574">
        <v>1090</v>
      </c>
      <c r="B574" s="13">
        <v>45195</v>
      </c>
      <c r="C574" t="s">
        <v>12</v>
      </c>
      <c r="D574" t="s">
        <v>30</v>
      </c>
      <c r="E574">
        <v>7350.77</v>
      </c>
      <c r="F574">
        <v>11</v>
      </c>
      <c r="G574" t="s">
        <v>28</v>
      </c>
      <c r="H574">
        <v>210.33</v>
      </c>
      <c r="I574">
        <v>552.29</v>
      </c>
      <c r="J574" t="s">
        <v>20</v>
      </c>
      <c r="K574">
        <v>0.18</v>
      </c>
      <c r="L574" t="s">
        <v>16</v>
      </c>
      <c r="M574" t="s">
        <v>17</v>
      </c>
      <c r="N574" t="s">
        <v>72</v>
      </c>
    </row>
    <row r="575" spans="1:14" x14ac:dyDescent="0.3">
      <c r="A575">
        <v>1008</v>
      </c>
      <c r="B575" s="13">
        <v>45067</v>
      </c>
      <c r="C575" t="s">
        <v>18</v>
      </c>
      <c r="D575" t="s">
        <v>13</v>
      </c>
      <c r="E575">
        <v>5197.84</v>
      </c>
      <c r="F575">
        <v>37</v>
      </c>
      <c r="G575" t="s">
        <v>24</v>
      </c>
      <c r="H575">
        <v>1712.43</v>
      </c>
      <c r="I575">
        <v>1980.06</v>
      </c>
      <c r="J575" t="s">
        <v>15</v>
      </c>
      <c r="K575">
        <v>0.26</v>
      </c>
      <c r="L575" t="s">
        <v>16</v>
      </c>
      <c r="M575" t="s">
        <v>29</v>
      </c>
      <c r="N575" t="s">
        <v>80</v>
      </c>
    </row>
    <row r="576" spans="1:14" x14ac:dyDescent="0.3">
      <c r="A576">
        <v>1093</v>
      </c>
      <c r="B576" s="13">
        <v>45200</v>
      </c>
      <c r="C576" t="s">
        <v>12</v>
      </c>
      <c r="D576" t="s">
        <v>13</v>
      </c>
      <c r="E576">
        <v>1697.49</v>
      </c>
      <c r="F576">
        <v>22</v>
      </c>
      <c r="G576" t="s">
        <v>28</v>
      </c>
      <c r="H576">
        <v>2593.64</v>
      </c>
      <c r="I576" s="14" t="s">
        <v>176</v>
      </c>
      <c r="J576" t="s">
        <v>20</v>
      </c>
      <c r="K576">
        <v>0</v>
      </c>
      <c r="L576" t="s">
        <v>25</v>
      </c>
      <c r="M576" t="s">
        <v>17</v>
      </c>
      <c r="N576" t="s">
        <v>83</v>
      </c>
    </row>
    <row r="577" spans="1:14" x14ac:dyDescent="0.3">
      <c r="A577">
        <v>1026</v>
      </c>
      <c r="B577" s="13">
        <v>45022</v>
      </c>
      <c r="C577" t="s">
        <v>23</v>
      </c>
      <c r="D577" t="s">
        <v>27</v>
      </c>
      <c r="E577">
        <v>927.19</v>
      </c>
      <c r="F577">
        <v>4</v>
      </c>
      <c r="G577" t="s">
        <v>28</v>
      </c>
      <c r="H577">
        <v>3993.39</v>
      </c>
      <c r="I577">
        <v>4288.3</v>
      </c>
      <c r="J577" t="s">
        <v>15</v>
      </c>
      <c r="K577">
        <v>0.13</v>
      </c>
      <c r="L577" t="s">
        <v>21</v>
      </c>
      <c r="M577" t="s">
        <v>29</v>
      </c>
      <c r="N577" t="s">
        <v>96</v>
      </c>
    </row>
    <row r="578" spans="1:14" x14ac:dyDescent="0.3">
      <c r="A578">
        <v>1074</v>
      </c>
      <c r="B578" s="13">
        <v>45153</v>
      </c>
      <c r="C578" t="s">
        <v>18</v>
      </c>
      <c r="D578" t="s">
        <v>19</v>
      </c>
      <c r="E578">
        <v>289.38</v>
      </c>
      <c r="F578">
        <v>29</v>
      </c>
      <c r="G578" t="s">
        <v>24</v>
      </c>
      <c r="H578">
        <v>1723.01</v>
      </c>
      <c r="I578">
        <v>2197.42</v>
      </c>
      <c r="J578" t="s">
        <v>15</v>
      </c>
      <c r="K578">
        <v>7.0000000000000007E-2</v>
      </c>
      <c r="L578" t="s">
        <v>25</v>
      </c>
      <c r="M578" t="s">
        <v>17</v>
      </c>
      <c r="N578" t="s">
        <v>56</v>
      </c>
    </row>
    <row r="579" spans="1:14" x14ac:dyDescent="0.3">
      <c r="A579">
        <v>1090</v>
      </c>
      <c r="B579" s="13">
        <v>44965</v>
      </c>
      <c r="C579" t="s">
        <v>31</v>
      </c>
      <c r="D579" t="s">
        <v>30</v>
      </c>
      <c r="E579">
        <v>1740.91</v>
      </c>
      <c r="F579">
        <v>44</v>
      </c>
      <c r="G579" t="s">
        <v>14</v>
      </c>
      <c r="H579">
        <v>3542.18</v>
      </c>
      <c r="I579">
        <v>3578.49</v>
      </c>
      <c r="J579" t="s">
        <v>20</v>
      </c>
      <c r="K579">
        <v>0.12</v>
      </c>
      <c r="L579" t="s">
        <v>16</v>
      </c>
      <c r="M579" t="s">
        <v>29</v>
      </c>
      <c r="N579" t="s">
        <v>62</v>
      </c>
    </row>
    <row r="580" spans="1:14" x14ac:dyDescent="0.3">
      <c r="A580">
        <v>1034</v>
      </c>
      <c r="B580" s="13">
        <v>45228</v>
      </c>
      <c r="C580" t="s">
        <v>18</v>
      </c>
      <c r="D580" t="s">
        <v>30</v>
      </c>
      <c r="E580">
        <v>8919.4699999999993</v>
      </c>
      <c r="F580">
        <v>34</v>
      </c>
      <c r="G580" t="s">
        <v>22</v>
      </c>
      <c r="H580">
        <v>978.15</v>
      </c>
      <c r="I580">
        <v>1040.21</v>
      </c>
      <c r="J580" t="s">
        <v>15</v>
      </c>
      <c r="K580">
        <v>0.12</v>
      </c>
      <c r="L580" t="s">
        <v>21</v>
      </c>
      <c r="M580" t="s">
        <v>17</v>
      </c>
      <c r="N580" t="s">
        <v>64</v>
      </c>
    </row>
    <row r="581" spans="1:14" x14ac:dyDescent="0.3">
      <c r="A581">
        <v>1007</v>
      </c>
      <c r="B581" s="13">
        <v>44955</v>
      </c>
      <c r="C581" t="s">
        <v>31</v>
      </c>
      <c r="D581" t="s">
        <v>19</v>
      </c>
      <c r="E581">
        <v>2491.21</v>
      </c>
      <c r="F581">
        <v>13</v>
      </c>
      <c r="G581" t="s">
        <v>24</v>
      </c>
      <c r="H581">
        <v>3765.46</v>
      </c>
      <c r="I581">
        <v>3860.56</v>
      </c>
      <c r="J581" t="s">
        <v>20</v>
      </c>
      <c r="K581">
        <v>0.22</v>
      </c>
      <c r="L581" t="s">
        <v>16</v>
      </c>
      <c r="M581" t="s">
        <v>17</v>
      </c>
      <c r="N581" t="s">
        <v>88</v>
      </c>
    </row>
    <row r="582" spans="1:14" x14ac:dyDescent="0.3">
      <c r="A582">
        <v>1068</v>
      </c>
      <c r="B582" s="13">
        <v>45244</v>
      </c>
      <c r="C582" t="s">
        <v>31</v>
      </c>
      <c r="D582" t="s">
        <v>19</v>
      </c>
      <c r="E582">
        <v>3607.29</v>
      </c>
      <c r="F582">
        <v>42</v>
      </c>
      <c r="G582" t="s">
        <v>14</v>
      </c>
      <c r="H582">
        <v>1218.18</v>
      </c>
      <c r="I582" s="14" t="s">
        <v>175</v>
      </c>
      <c r="J582" t="s">
        <v>20</v>
      </c>
      <c r="K582">
        <v>0.03</v>
      </c>
      <c r="L582" t="s">
        <v>21</v>
      </c>
      <c r="M582" t="s">
        <v>17</v>
      </c>
      <c r="N582" t="s">
        <v>88</v>
      </c>
    </row>
    <row r="583" spans="1:14" x14ac:dyDescent="0.3">
      <c r="A583">
        <v>1058</v>
      </c>
      <c r="B583" s="13">
        <v>45171</v>
      </c>
      <c r="C583" t="s">
        <v>18</v>
      </c>
      <c r="D583" t="s">
        <v>27</v>
      </c>
      <c r="E583">
        <v>1142.92</v>
      </c>
      <c r="F583">
        <v>9</v>
      </c>
      <c r="G583" t="s">
        <v>24</v>
      </c>
      <c r="H583">
        <v>760.55</v>
      </c>
      <c r="I583" s="14" t="s">
        <v>174</v>
      </c>
      <c r="J583" t="s">
        <v>20</v>
      </c>
      <c r="K583">
        <v>0.15</v>
      </c>
      <c r="L583" t="s">
        <v>16</v>
      </c>
      <c r="M583" t="s">
        <v>17</v>
      </c>
      <c r="N583" t="s">
        <v>58</v>
      </c>
    </row>
    <row r="584" spans="1:14" x14ac:dyDescent="0.3">
      <c r="A584">
        <v>1075</v>
      </c>
      <c r="B584" s="13">
        <v>45162</v>
      </c>
      <c r="C584" t="s">
        <v>31</v>
      </c>
      <c r="D584" t="s">
        <v>19</v>
      </c>
      <c r="E584">
        <v>2301.38</v>
      </c>
      <c r="F584">
        <v>42</v>
      </c>
      <c r="G584" t="s">
        <v>14</v>
      </c>
      <c r="H584">
        <v>967.77</v>
      </c>
      <c r="I584">
        <v>1414.88</v>
      </c>
      <c r="J584" t="s">
        <v>15</v>
      </c>
      <c r="K584">
        <v>0.17</v>
      </c>
      <c r="L584" t="s">
        <v>25</v>
      </c>
      <c r="M584" t="s">
        <v>29</v>
      </c>
      <c r="N584" t="s">
        <v>88</v>
      </c>
    </row>
    <row r="585" spans="1:14" x14ac:dyDescent="0.3">
      <c r="A585">
        <v>1029</v>
      </c>
      <c r="B585" s="13">
        <v>45111</v>
      </c>
      <c r="C585" t="s">
        <v>31</v>
      </c>
      <c r="D585" t="s">
        <v>30</v>
      </c>
      <c r="E585">
        <v>5240.32</v>
      </c>
      <c r="F585">
        <v>31</v>
      </c>
      <c r="G585" t="s">
        <v>24</v>
      </c>
      <c r="H585">
        <v>951.21</v>
      </c>
      <c r="I585" s="14" t="s">
        <v>173</v>
      </c>
      <c r="J585" t="s">
        <v>15</v>
      </c>
      <c r="K585">
        <v>0.15</v>
      </c>
      <c r="L585" t="s">
        <v>16</v>
      </c>
      <c r="M585" t="s">
        <v>29</v>
      </c>
      <c r="N585" t="s">
        <v>62</v>
      </c>
    </row>
    <row r="586" spans="1:14" x14ac:dyDescent="0.3">
      <c r="A586">
        <v>1036</v>
      </c>
      <c r="B586" s="13">
        <v>45198</v>
      </c>
      <c r="C586" t="s">
        <v>23</v>
      </c>
      <c r="D586" t="s">
        <v>30</v>
      </c>
      <c r="E586">
        <v>6116.75</v>
      </c>
      <c r="F586">
        <v>7</v>
      </c>
      <c r="G586" t="s">
        <v>14</v>
      </c>
      <c r="H586">
        <v>2588.67</v>
      </c>
      <c r="I586">
        <v>2847.76</v>
      </c>
      <c r="J586" t="s">
        <v>15</v>
      </c>
      <c r="K586">
        <v>0.22</v>
      </c>
      <c r="L586" t="s">
        <v>16</v>
      </c>
      <c r="M586" t="s">
        <v>17</v>
      </c>
      <c r="N586" t="s">
        <v>60</v>
      </c>
    </row>
    <row r="587" spans="1:14" x14ac:dyDescent="0.3">
      <c r="A587">
        <v>1089</v>
      </c>
      <c r="B587" s="13">
        <v>45162</v>
      </c>
      <c r="C587" t="s">
        <v>12</v>
      </c>
      <c r="D587" t="s">
        <v>30</v>
      </c>
      <c r="E587">
        <v>2528.9899999999998</v>
      </c>
      <c r="F587">
        <v>4</v>
      </c>
      <c r="G587" t="s">
        <v>24</v>
      </c>
      <c r="H587">
        <v>4231.75</v>
      </c>
      <c r="I587">
        <v>4727.75</v>
      </c>
      <c r="J587" t="s">
        <v>20</v>
      </c>
      <c r="K587">
        <v>0.12</v>
      </c>
      <c r="L587" t="s">
        <v>21</v>
      </c>
      <c r="M587" t="s">
        <v>17</v>
      </c>
      <c r="N587" t="s">
        <v>72</v>
      </c>
    </row>
    <row r="588" spans="1:14" x14ac:dyDescent="0.3">
      <c r="A588">
        <v>1021</v>
      </c>
      <c r="B588" s="13">
        <v>45165</v>
      </c>
      <c r="C588" t="s">
        <v>12</v>
      </c>
      <c r="D588" t="s">
        <v>30</v>
      </c>
      <c r="E588">
        <v>671.55</v>
      </c>
      <c r="F588">
        <v>19</v>
      </c>
      <c r="G588" t="s">
        <v>14</v>
      </c>
      <c r="H588">
        <v>444.05</v>
      </c>
      <c r="I588">
        <v>584.44000000000005</v>
      </c>
      <c r="J588" t="s">
        <v>20</v>
      </c>
      <c r="K588">
        <v>0.28000000000000003</v>
      </c>
      <c r="L588" t="s">
        <v>16</v>
      </c>
      <c r="M588" t="s">
        <v>17</v>
      </c>
      <c r="N588" t="s">
        <v>72</v>
      </c>
    </row>
    <row r="589" spans="1:14" x14ac:dyDescent="0.3">
      <c r="A589">
        <v>1036</v>
      </c>
      <c r="B589" s="13">
        <v>45192</v>
      </c>
      <c r="C589" t="s">
        <v>23</v>
      </c>
      <c r="D589" t="s">
        <v>30</v>
      </c>
      <c r="E589">
        <v>3971.23</v>
      </c>
      <c r="F589">
        <v>42</v>
      </c>
      <c r="G589" t="s">
        <v>24</v>
      </c>
      <c r="H589">
        <v>3549.43</v>
      </c>
      <c r="I589" s="14" t="s">
        <v>172</v>
      </c>
      <c r="J589" t="s">
        <v>15</v>
      </c>
      <c r="K589">
        <v>0.14000000000000001</v>
      </c>
      <c r="L589" t="s">
        <v>25</v>
      </c>
      <c r="M589" t="s">
        <v>29</v>
      </c>
      <c r="N589" t="s">
        <v>60</v>
      </c>
    </row>
    <row r="590" spans="1:14" x14ac:dyDescent="0.3">
      <c r="A590">
        <v>1010</v>
      </c>
      <c r="B590" s="13">
        <v>45285</v>
      </c>
      <c r="C590" t="s">
        <v>18</v>
      </c>
      <c r="D590" t="s">
        <v>27</v>
      </c>
      <c r="E590">
        <v>2418.61</v>
      </c>
      <c r="F590">
        <v>30</v>
      </c>
      <c r="G590" t="s">
        <v>22</v>
      </c>
      <c r="H590">
        <v>3289.01</v>
      </c>
      <c r="I590" s="14" t="s">
        <v>171</v>
      </c>
      <c r="J590" t="s">
        <v>15</v>
      </c>
      <c r="K590">
        <v>0.17</v>
      </c>
      <c r="L590" t="s">
        <v>25</v>
      </c>
      <c r="M590" t="s">
        <v>17</v>
      </c>
      <c r="N590" t="s">
        <v>58</v>
      </c>
    </row>
    <row r="591" spans="1:14" x14ac:dyDescent="0.3">
      <c r="A591">
        <v>1073</v>
      </c>
      <c r="B591" s="13">
        <v>45266</v>
      </c>
      <c r="C591" t="s">
        <v>26</v>
      </c>
      <c r="D591" t="s">
        <v>30</v>
      </c>
      <c r="E591">
        <v>2273.58</v>
      </c>
      <c r="F591">
        <v>31</v>
      </c>
      <c r="G591" t="s">
        <v>22</v>
      </c>
      <c r="H591">
        <v>4368.97</v>
      </c>
      <c r="I591">
        <v>4696.8500000000004</v>
      </c>
      <c r="J591" t="s">
        <v>20</v>
      </c>
      <c r="K591">
        <v>0.25</v>
      </c>
      <c r="L591" t="s">
        <v>25</v>
      </c>
      <c r="M591" t="s">
        <v>17</v>
      </c>
      <c r="N591" t="s">
        <v>71</v>
      </c>
    </row>
    <row r="592" spans="1:14" x14ac:dyDescent="0.3">
      <c r="A592">
        <v>1024</v>
      </c>
      <c r="B592" s="13">
        <v>44991</v>
      </c>
      <c r="C592" t="s">
        <v>26</v>
      </c>
      <c r="D592" t="s">
        <v>27</v>
      </c>
      <c r="E592">
        <v>9602.64</v>
      </c>
      <c r="F592">
        <v>35</v>
      </c>
      <c r="G592" t="s">
        <v>28</v>
      </c>
      <c r="H592">
        <v>1258.53</v>
      </c>
      <c r="I592" s="14" t="s">
        <v>170</v>
      </c>
      <c r="J592" t="s">
        <v>15</v>
      </c>
      <c r="K592">
        <v>0.08</v>
      </c>
      <c r="L592" t="s">
        <v>21</v>
      </c>
      <c r="M592" t="s">
        <v>29</v>
      </c>
      <c r="N592" t="s">
        <v>63</v>
      </c>
    </row>
    <row r="593" spans="1:14" x14ac:dyDescent="0.3">
      <c r="A593">
        <v>1064</v>
      </c>
      <c r="B593" s="13">
        <v>45103</v>
      </c>
      <c r="C593" t="s">
        <v>26</v>
      </c>
      <c r="D593" t="s">
        <v>30</v>
      </c>
      <c r="E593">
        <v>6201.37</v>
      </c>
      <c r="F593">
        <v>21</v>
      </c>
      <c r="G593" t="s">
        <v>14</v>
      </c>
      <c r="H593">
        <v>2278.04</v>
      </c>
      <c r="I593">
        <v>2598.58</v>
      </c>
      <c r="J593" t="s">
        <v>20</v>
      </c>
      <c r="K593">
        <v>0.02</v>
      </c>
      <c r="L593" t="s">
        <v>21</v>
      </c>
      <c r="M593" t="s">
        <v>17</v>
      </c>
      <c r="N593" t="s">
        <v>71</v>
      </c>
    </row>
    <row r="594" spans="1:14" x14ac:dyDescent="0.3">
      <c r="A594">
        <v>1099</v>
      </c>
      <c r="B594" s="13">
        <v>44929</v>
      </c>
      <c r="C594" t="s">
        <v>23</v>
      </c>
      <c r="D594" t="s">
        <v>13</v>
      </c>
      <c r="E594">
        <v>5613.1</v>
      </c>
      <c r="F594">
        <v>31</v>
      </c>
      <c r="G594" t="s">
        <v>24</v>
      </c>
      <c r="H594">
        <v>4632.8500000000004</v>
      </c>
      <c r="I594" s="14" t="s">
        <v>169</v>
      </c>
      <c r="J594" t="s">
        <v>15</v>
      </c>
      <c r="K594">
        <v>0.21</v>
      </c>
      <c r="L594" t="s">
        <v>16</v>
      </c>
      <c r="M594" t="s">
        <v>17</v>
      </c>
      <c r="N594" t="s">
        <v>69</v>
      </c>
    </row>
    <row r="595" spans="1:14" x14ac:dyDescent="0.3">
      <c r="A595">
        <v>1049</v>
      </c>
      <c r="B595" s="13">
        <v>45068</v>
      </c>
      <c r="C595" t="s">
        <v>23</v>
      </c>
      <c r="D595" t="s">
        <v>13</v>
      </c>
      <c r="E595">
        <v>4216.17</v>
      </c>
      <c r="F595">
        <v>19</v>
      </c>
      <c r="G595" t="s">
        <v>14</v>
      </c>
      <c r="H595">
        <v>3316.97</v>
      </c>
      <c r="I595">
        <v>3544.02</v>
      </c>
      <c r="J595" t="s">
        <v>20</v>
      </c>
      <c r="K595">
        <v>0.14000000000000001</v>
      </c>
      <c r="L595" t="s">
        <v>16</v>
      </c>
      <c r="M595" t="s">
        <v>29</v>
      </c>
      <c r="N595" t="s">
        <v>69</v>
      </c>
    </row>
    <row r="596" spans="1:14" x14ac:dyDescent="0.3">
      <c r="A596">
        <v>1099</v>
      </c>
      <c r="B596" s="13">
        <v>45084</v>
      </c>
      <c r="C596" t="s">
        <v>31</v>
      </c>
      <c r="D596" t="s">
        <v>13</v>
      </c>
      <c r="E596">
        <v>4346.55</v>
      </c>
      <c r="F596">
        <v>31</v>
      </c>
      <c r="G596" t="s">
        <v>22</v>
      </c>
      <c r="H596">
        <v>1974.4</v>
      </c>
      <c r="I596">
        <v>2259.5</v>
      </c>
      <c r="J596" t="s">
        <v>15</v>
      </c>
      <c r="K596">
        <v>0.27</v>
      </c>
      <c r="L596" t="s">
        <v>16</v>
      </c>
      <c r="M596" t="s">
        <v>17</v>
      </c>
      <c r="N596" t="s">
        <v>67</v>
      </c>
    </row>
    <row r="597" spans="1:14" x14ac:dyDescent="0.3">
      <c r="A597">
        <v>1036</v>
      </c>
      <c r="B597" s="13">
        <v>45250</v>
      </c>
      <c r="C597" t="s">
        <v>26</v>
      </c>
      <c r="D597" t="s">
        <v>13</v>
      </c>
      <c r="E597">
        <v>5454.96</v>
      </c>
      <c r="F597">
        <v>32</v>
      </c>
      <c r="G597" t="s">
        <v>14</v>
      </c>
      <c r="H597">
        <v>700.49</v>
      </c>
      <c r="I597">
        <v>1126.52</v>
      </c>
      <c r="J597" t="s">
        <v>15</v>
      </c>
      <c r="K597">
        <v>0.28999999999999998</v>
      </c>
      <c r="L597" t="s">
        <v>21</v>
      </c>
      <c r="M597" t="s">
        <v>17</v>
      </c>
      <c r="N597" t="s">
        <v>55</v>
      </c>
    </row>
    <row r="598" spans="1:14" x14ac:dyDescent="0.3">
      <c r="A598">
        <v>1082</v>
      </c>
      <c r="B598" s="13">
        <v>45072</v>
      </c>
      <c r="C598" t="s">
        <v>18</v>
      </c>
      <c r="D598" t="s">
        <v>27</v>
      </c>
      <c r="E598">
        <v>6994.66</v>
      </c>
      <c r="F598">
        <v>2</v>
      </c>
      <c r="G598" t="s">
        <v>24</v>
      </c>
      <c r="H598">
        <v>1349.3</v>
      </c>
      <c r="I598">
        <v>1576.69</v>
      </c>
      <c r="J598" t="s">
        <v>20</v>
      </c>
      <c r="K598">
        <v>0.12</v>
      </c>
      <c r="L598" t="s">
        <v>21</v>
      </c>
      <c r="M598" t="s">
        <v>29</v>
      </c>
      <c r="N598" t="s">
        <v>58</v>
      </c>
    </row>
    <row r="599" spans="1:14" x14ac:dyDescent="0.3">
      <c r="A599">
        <v>1096</v>
      </c>
      <c r="B599" s="13">
        <v>45219</v>
      </c>
      <c r="C599" t="s">
        <v>18</v>
      </c>
      <c r="D599" t="s">
        <v>27</v>
      </c>
      <c r="E599">
        <v>7051.25</v>
      </c>
      <c r="F599">
        <v>10</v>
      </c>
      <c r="G599" t="s">
        <v>14</v>
      </c>
      <c r="H599">
        <v>2927.02</v>
      </c>
      <c r="I599">
        <v>3387.21</v>
      </c>
      <c r="J599" t="s">
        <v>20</v>
      </c>
      <c r="K599">
        <v>0.12</v>
      </c>
      <c r="L599" t="s">
        <v>16</v>
      </c>
      <c r="M599" t="s">
        <v>17</v>
      </c>
      <c r="N599" t="s">
        <v>58</v>
      </c>
    </row>
    <row r="600" spans="1:14" x14ac:dyDescent="0.3">
      <c r="A600">
        <v>1024</v>
      </c>
      <c r="B600" s="13">
        <v>45079</v>
      </c>
      <c r="C600" t="s">
        <v>26</v>
      </c>
      <c r="D600" t="s">
        <v>19</v>
      </c>
      <c r="E600">
        <v>1799.77</v>
      </c>
      <c r="F600">
        <v>2</v>
      </c>
      <c r="G600" t="s">
        <v>24</v>
      </c>
      <c r="H600">
        <v>3604.93</v>
      </c>
      <c r="I600">
        <v>3830.71</v>
      </c>
      <c r="J600" t="s">
        <v>20</v>
      </c>
      <c r="K600">
        <v>0.12</v>
      </c>
      <c r="L600" t="s">
        <v>21</v>
      </c>
      <c r="M600" t="s">
        <v>29</v>
      </c>
      <c r="N600" t="s">
        <v>76</v>
      </c>
    </row>
    <row r="601" spans="1:14" x14ac:dyDescent="0.3">
      <c r="A601">
        <v>1023</v>
      </c>
      <c r="B601" s="13">
        <v>45119</v>
      </c>
      <c r="C601" t="s">
        <v>26</v>
      </c>
      <c r="D601" t="s">
        <v>30</v>
      </c>
      <c r="E601">
        <v>5051.12</v>
      </c>
      <c r="F601">
        <v>2</v>
      </c>
      <c r="G601" t="s">
        <v>22</v>
      </c>
      <c r="H601">
        <v>665.89</v>
      </c>
      <c r="I601">
        <v>944.79</v>
      </c>
      <c r="J601" t="s">
        <v>15</v>
      </c>
      <c r="K601">
        <v>0.1</v>
      </c>
      <c r="L601" t="s">
        <v>21</v>
      </c>
      <c r="M601" t="s">
        <v>17</v>
      </c>
      <c r="N601" t="s">
        <v>71</v>
      </c>
    </row>
    <row r="602" spans="1:14" x14ac:dyDescent="0.3">
      <c r="A602">
        <v>1062</v>
      </c>
      <c r="B602" s="13">
        <v>44999</v>
      </c>
      <c r="C602" t="s">
        <v>26</v>
      </c>
      <c r="D602" t="s">
        <v>13</v>
      </c>
      <c r="E602">
        <v>4178.3900000000003</v>
      </c>
      <c r="F602">
        <v>24</v>
      </c>
      <c r="G602" t="s">
        <v>22</v>
      </c>
      <c r="H602">
        <v>3018.01</v>
      </c>
      <c r="I602">
        <v>3418.19</v>
      </c>
      <c r="J602" t="s">
        <v>20</v>
      </c>
      <c r="K602">
        <v>0.23</v>
      </c>
      <c r="L602" t="s">
        <v>25</v>
      </c>
      <c r="M602" t="s">
        <v>17</v>
      </c>
      <c r="N602" t="s">
        <v>55</v>
      </c>
    </row>
    <row r="603" spans="1:14" x14ac:dyDescent="0.3">
      <c r="A603">
        <v>1096</v>
      </c>
      <c r="B603" s="13">
        <v>45231</v>
      </c>
      <c r="C603" t="s">
        <v>23</v>
      </c>
      <c r="D603" t="s">
        <v>27</v>
      </c>
      <c r="E603">
        <v>8718.2199999999993</v>
      </c>
      <c r="F603">
        <v>17</v>
      </c>
      <c r="G603" t="s">
        <v>22</v>
      </c>
      <c r="H603">
        <v>2774.24</v>
      </c>
      <c r="I603" s="14" t="s">
        <v>168</v>
      </c>
      <c r="J603" t="s">
        <v>20</v>
      </c>
      <c r="K603">
        <v>0.23</v>
      </c>
      <c r="L603" t="s">
        <v>25</v>
      </c>
      <c r="M603" t="s">
        <v>17</v>
      </c>
      <c r="N603" t="s">
        <v>96</v>
      </c>
    </row>
    <row r="604" spans="1:14" x14ac:dyDescent="0.3">
      <c r="A604">
        <v>1037</v>
      </c>
      <c r="B604" s="13">
        <v>45270</v>
      </c>
      <c r="C604" t="s">
        <v>23</v>
      </c>
      <c r="D604" t="s">
        <v>30</v>
      </c>
      <c r="E604">
        <v>6351.05</v>
      </c>
      <c r="F604">
        <v>32</v>
      </c>
      <c r="G604" t="s">
        <v>28</v>
      </c>
      <c r="H604">
        <v>2594.08</v>
      </c>
      <c r="I604">
        <v>3074.59</v>
      </c>
      <c r="J604" t="s">
        <v>15</v>
      </c>
      <c r="K604">
        <v>0.14000000000000001</v>
      </c>
      <c r="L604" t="s">
        <v>16</v>
      </c>
      <c r="M604" t="s">
        <v>17</v>
      </c>
      <c r="N604" t="s">
        <v>60</v>
      </c>
    </row>
    <row r="605" spans="1:14" x14ac:dyDescent="0.3">
      <c r="A605">
        <v>1012</v>
      </c>
      <c r="B605" s="13">
        <v>45066</v>
      </c>
      <c r="C605" t="s">
        <v>23</v>
      </c>
      <c r="D605" t="s">
        <v>30</v>
      </c>
      <c r="E605">
        <v>5371.79</v>
      </c>
      <c r="F605">
        <v>16</v>
      </c>
      <c r="G605" t="s">
        <v>22</v>
      </c>
      <c r="H605">
        <v>3466.11</v>
      </c>
      <c r="I605">
        <v>3799.67</v>
      </c>
      <c r="J605" t="s">
        <v>20</v>
      </c>
      <c r="K605">
        <v>0.01</v>
      </c>
      <c r="L605" t="s">
        <v>16</v>
      </c>
      <c r="M605" t="s">
        <v>17</v>
      </c>
      <c r="N605" t="s">
        <v>60</v>
      </c>
    </row>
    <row r="606" spans="1:14" x14ac:dyDescent="0.3">
      <c r="A606">
        <v>1055</v>
      </c>
      <c r="B606" s="13">
        <v>45113</v>
      </c>
      <c r="C606" t="s">
        <v>12</v>
      </c>
      <c r="D606" t="s">
        <v>27</v>
      </c>
      <c r="E606">
        <v>1242.4100000000001</v>
      </c>
      <c r="F606">
        <v>16</v>
      </c>
      <c r="G606" t="s">
        <v>14</v>
      </c>
      <c r="H606">
        <v>4195.38</v>
      </c>
      <c r="I606">
        <v>4461.51</v>
      </c>
      <c r="J606" t="s">
        <v>20</v>
      </c>
      <c r="K606">
        <v>0.09</v>
      </c>
      <c r="L606" t="s">
        <v>25</v>
      </c>
      <c r="M606" t="s">
        <v>29</v>
      </c>
      <c r="N606" t="s">
        <v>100</v>
      </c>
    </row>
    <row r="607" spans="1:14" x14ac:dyDescent="0.3">
      <c r="A607">
        <v>1013</v>
      </c>
      <c r="B607" s="13">
        <v>45219</v>
      </c>
      <c r="C607" t="s">
        <v>18</v>
      </c>
      <c r="D607" t="s">
        <v>13</v>
      </c>
      <c r="E607">
        <v>6095.82</v>
      </c>
      <c r="F607">
        <v>46</v>
      </c>
      <c r="G607" t="s">
        <v>28</v>
      </c>
      <c r="H607">
        <v>1648.8</v>
      </c>
      <c r="I607">
        <v>1670.36</v>
      </c>
      <c r="J607" t="s">
        <v>20</v>
      </c>
      <c r="K607">
        <v>0.09</v>
      </c>
      <c r="L607" t="s">
        <v>21</v>
      </c>
      <c r="M607" t="s">
        <v>17</v>
      </c>
      <c r="N607" t="s">
        <v>80</v>
      </c>
    </row>
    <row r="608" spans="1:14" x14ac:dyDescent="0.3">
      <c r="A608">
        <v>1023</v>
      </c>
      <c r="B608" s="13">
        <v>44987</v>
      </c>
      <c r="C608" t="s">
        <v>18</v>
      </c>
      <c r="D608" t="s">
        <v>19</v>
      </c>
      <c r="E608">
        <v>1260.32</v>
      </c>
      <c r="F608">
        <v>39</v>
      </c>
      <c r="G608" t="s">
        <v>22</v>
      </c>
      <c r="H608">
        <v>4450.6099999999997</v>
      </c>
      <c r="I608" s="14" t="s">
        <v>167</v>
      </c>
      <c r="J608" t="s">
        <v>15</v>
      </c>
      <c r="K608">
        <v>0.24</v>
      </c>
      <c r="L608" t="s">
        <v>16</v>
      </c>
      <c r="M608" t="s">
        <v>17</v>
      </c>
      <c r="N608" t="s">
        <v>56</v>
      </c>
    </row>
    <row r="609" spans="1:14" x14ac:dyDescent="0.3">
      <c r="A609">
        <v>1089</v>
      </c>
      <c r="B609" s="13">
        <v>45124</v>
      </c>
      <c r="C609" t="s">
        <v>31</v>
      </c>
      <c r="D609" t="s">
        <v>30</v>
      </c>
      <c r="E609">
        <v>3438.35</v>
      </c>
      <c r="F609">
        <v>31</v>
      </c>
      <c r="G609" t="s">
        <v>14</v>
      </c>
      <c r="H609">
        <v>845.14</v>
      </c>
      <c r="I609">
        <v>1001.77</v>
      </c>
      <c r="J609" t="s">
        <v>15</v>
      </c>
      <c r="K609">
        <v>0.03</v>
      </c>
      <c r="L609" t="s">
        <v>16</v>
      </c>
      <c r="M609" t="s">
        <v>29</v>
      </c>
      <c r="N609" t="s">
        <v>62</v>
      </c>
    </row>
    <row r="610" spans="1:14" x14ac:dyDescent="0.3">
      <c r="A610">
        <v>1099</v>
      </c>
      <c r="B610" s="13">
        <v>45221</v>
      </c>
      <c r="C610" t="s">
        <v>23</v>
      </c>
      <c r="D610" t="s">
        <v>19</v>
      </c>
      <c r="E610">
        <v>1514.14</v>
      </c>
      <c r="F610">
        <v>43</v>
      </c>
      <c r="G610" t="s">
        <v>14</v>
      </c>
      <c r="H610">
        <v>906.47</v>
      </c>
      <c r="I610">
        <v>1283.04</v>
      </c>
      <c r="J610" t="s">
        <v>15</v>
      </c>
      <c r="K610">
        <v>0.24</v>
      </c>
      <c r="L610" t="s">
        <v>16</v>
      </c>
      <c r="M610" t="s">
        <v>29</v>
      </c>
      <c r="N610" t="s">
        <v>81</v>
      </c>
    </row>
    <row r="611" spans="1:14" x14ac:dyDescent="0.3">
      <c r="A611">
        <v>1030</v>
      </c>
      <c r="B611" s="13">
        <v>45245</v>
      </c>
      <c r="C611" t="s">
        <v>12</v>
      </c>
      <c r="D611" t="s">
        <v>13</v>
      </c>
      <c r="E611">
        <v>6951.53</v>
      </c>
      <c r="F611">
        <v>24</v>
      </c>
      <c r="G611" t="s">
        <v>14</v>
      </c>
      <c r="H611">
        <v>1370.52</v>
      </c>
      <c r="I611">
        <v>1482.58</v>
      </c>
      <c r="J611" t="s">
        <v>20</v>
      </c>
      <c r="K611">
        <v>0.2</v>
      </c>
      <c r="L611" t="s">
        <v>21</v>
      </c>
      <c r="M611" t="s">
        <v>17</v>
      </c>
      <c r="N611" t="s">
        <v>83</v>
      </c>
    </row>
    <row r="612" spans="1:14" x14ac:dyDescent="0.3">
      <c r="A612">
        <v>1017</v>
      </c>
      <c r="B612" s="13">
        <v>45228</v>
      </c>
      <c r="C612" t="s">
        <v>12</v>
      </c>
      <c r="D612" t="s">
        <v>13</v>
      </c>
      <c r="E612">
        <v>2141.9</v>
      </c>
      <c r="F612">
        <v>1</v>
      </c>
      <c r="G612" t="s">
        <v>24</v>
      </c>
      <c r="H612">
        <v>641.67999999999995</v>
      </c>
      <c r="I612">
        <v>752.24</v>
      </c>
      <c r="J612" t="s">
        <v>15</v>
      </c>
      <c r="K612">
        <v>0.22</v>
      </c>
      <c r="L612" t="s">
        <v>25</v>
      </c>
      <c r="M612" t="s">
        <v>29</v>
      </c>
      <c r="N612" t="s">
        <v>83</v>
      </c>
    </row>
    <row r="613" spans="1:14" x14ac:dyDescent="0.3">
      <c r="A613">
        <v>1062</v>
      </c>
      <c r="B613" s="13">
        <v>45270</v>
      </c>
      <c r="C613" t="s">
        <v>18</v>
      </c>
      <c r="D613" t="s">
        <v>19</v>
      </c>
      <c r="E613">
        <v>3979.41</v>
      </c>
      <c r="F613">
        <v>11</v>
      </c>
      <c r="G613" t="s">
        <v>28</v>
      </c>
      <c r="H613">
        <v>1190.08</v>
      </c>
      <c r="I613" s="14" t="s">
        <v>166</v>
      </c>
      <c r="J613" t="s">
        <v>20</v>
      </c>
      <c r="K613">
        <v>0.13</v>
      </c>
      <c r="L613" t="s">
        <v>16</v>
      </c>
      <c r="M613" t="s">
        <v>17</v>
      </c>
      <c r="N613" t="s">
        <v>56</v>
      </c>
    </row>
    <row r="614" spans="1:14" x14ac:dyDescent="0.3">
      <c r="A614">
        <v>1084</v>
      </c>
      <c r="B614" s="13">
        <v>44937</v>
      </c>
      <c r="C614" t="s">
        <v>23</v>
      </c>
      <c r="D614" t="s">
        <v>13</v>
      </c>
      <c r="E614">
        <v>8967.18</v>
      </c>
      <c r="F614">
        <v>21</v>
      </c>
      <c r="G614" t="s">
        <v>14</v>
      </c>
      <c r="H614">
        <v>576.74</v>
      </c>
      <c r="I614">
        <v>648.29</v>
      </c>
      <c r="J614" t="s">
        <v>20</v>
      </c>
      <c r="K614">
        <v>0.2</v>
      </c>
      <c r="L614" t="s">
        <v>25</v>
      </c>
      <c r="M614" t="s">
        <v>29</v>
      </c>
      <c r="N614" t="s">
        <v>69</v>
      </c>
    </row>
    <row r="615" spans="1:14" x14ac:dyDescent="0.3">
      <c r="A615">
        <v>1089</v>
      </c>
      <c r="B615" s="13">
        <v>44988</v>
      </c>
      <c r="C615" t="s">
        <v>31</v>
      </c>
      <c r="D615" t="s">
        <v>30</v>
      </c>
      <c r="E615">
        <v>2122.73</v>
      </c>
      <c r="F615">
        <v>4</v>
      </c>
      <c r="G615" t="s">
        <v>24</v>
      </c>
      <c r="H615">
        <v>4117.67</v>
      </c>
      <c r="I615">
        <v>4280.0600000000004</v>
      </c>
      <c r="J615" t="s">
        <v>20</v>
      </c>
      <c r="K615">
        <v>0.18</v>
      </c>
      <c r="L615" t="s">
        <v>25</v>
      </c>
      <c r="M615" t="s">
        <v>29</v>
      </c>
      <c r="N615" t="s">
        <v>62</v>
      </c>
    </row>
    <row r="616" spans="1:14" x14ac:dyDescent="0.3">
      <c r="A616">
        <v>1086</v>
      </c>
      <c r="B616" s="13">
        <v>45259</v>
      </c>
      <c r="C616" t="s">
        <v>23</v>
      </c>
      <c r="D616" t="s">
        <v>19</v>
      </c>
      <c r="E616">
        <v>5127.2700000000004</v>
      </c>
      <c r="F616">
        <v>7</v>
      </c>
      <c r="G616" t="s">
        <v>22</v>
      </c>
      <c r="H616">
        <v>737.9</v>
      </c>
      <c r="I616">
        <v>1182</v>
      </c>
      <c r="J616" t="s">
        <v>15</v>
      </c>
      <c r="K616">
        <v>0.23</v>
      </c>
      <c r="L616" t="s">
        <v>21</v>
      </c>
      <c r="M616" t="s">
        <v>17</v>
      </c>
      <c r="N616" t="s">
        <v>81</v>
      </c>
    </row>
    <row r="617" spans="1:14" x14ac:dyDescent="0.3">
      <c r="A617">
        <v>1013</v>
      </c>
      <c r="B617" s="13">
        <v>45152</v>
      </c>
      <c r="C617" t="s">
        <v>26</v>
      </c>
      <c r="D617" t="s">
        <v>13</v>
      </c>
      <c r="E617">
        <v>4250.79</v>
      </c>
      <c r="F617">
        <v>26</v>
      </c>
      <c r="G617" t="s">
        <v>14</v>
      </c>
      <c r="H617">
        <v>3749.12</v>
      </c>
      <c r="I617">
        <v>4138.83</v>
      </c>
      <c r="J617" t="s">
        <v>15</v>
      </c>
      <c r="K617">
        <v>0.13</v>
      </c>
      <c r="L617" t="s">
        <v>21</v>
      </c>
      <c r="M617" t="s">
        <v>29</v>
      </c>
      <c r="N617" t="s">
        <v>55</v>
      </c>
    </row>
    <row r="618" spans="1:14" x14ac:dyDescent="0.3">
      <c r="A618">
        <v>1059</v>
      </c>
      <c r="B618" s="13">
        <v>45079</v>
      </c>
      <c r="C618" t="s">
        <v>23</v>
      </c>
      <c r="D618" t="s">
        <v>19</v>
      </c>
      <c r="E618">
        <v>279.43</v>
      </c>
      <c r="F618">
        <v>47</v>
      </c>
      <c r="G618" t="s">
        <v>24</v>
      </c>
      <c r="H618">
        <v>287.17</v>
      </c>
      <c r="I618">
        <v>657.44</v>
      </c>
      <c r="J618" t="s">
        <v>20</v>
      </c>
      <c r="K618">
        <v>0.14000000000000001</v>
      </c>
      <c r="L618" t="s">
        <v>21</v>
      </c>
      <c r="M618" t="s">
        <v>17</v>
      </c>
      <c r="N618" t="s">
        <v>81</v>
      </c>
    </row>
    <row r="619" spans="1:14" x14ac:dyDescent="0.3">
      <c r="A619">
        <v>1019</v>
      </c>
      <c r="B619" s="13">
        <v>45125</v>
      </c>
      <c r="C619" t="s">
        <v>26</v>
      </c>
      <c r="D619" t="s">
        <v>30</v>
      </c>
      <c r="E619">
        <v>7948.31</v>
      </c>
      <c r="F619">
        <v>12</v>
      </c>
      <c r="G619" t="s">
        <v>14</v>
      </c>
      <c r="H619">
        <v>4745.18</v>
      </c>
      <c r="I619">
        <v>5145.88</v>
      </c>
      <c r="J619" t="s">
        <v>20</v>
      </c>
      <c r="K619">
        <v>0.19</v>
      </c>
      <c r="L619" t="s">
        <v>21</v>
      </c>
      <c r="M619" t="s">
        <v>29</v>
      </c>
      <c r="N619" t="s">
        <v>71</v>
      </c>
    </row>
    <row r="620" spans="1:14" x14ac:dyDescent="0.3">
      <c r="A620">
        <v>1049</v>
      </c>
      <c r="B620" s="13">
        <v>44978</v>
      </c>
      <c r="C620" t="s">
        <v>26</v>
      </c>
      <c r="D620" t="s">
        <v>13</v>
      </c>
      <c r="E620">
        <v>783.55</v>
      </c>
      <c r="F620">
        <v>31</v>
      </c>
      <c r="G620" t="s">
        <v>28</v>
      </c>
      <c r="H620">
        <v>3570.24</v>
      </c>
      <c r="I620">
        <v>3712.25</v>
      </c>
      <c r="J620" t="s">
        <v>15</v>
      </c>
      <c r="K620">
        <v>0.03</v>
      </c>
      <c r="L620" t="s">
        <v>21</v>
      </c>
      <c r="M620" t="s">
        <v>29</v>
      </c>
      <c r="N620" t="s">
        <v>55</v>
      </c>
    </row>
    <row r="621" spans="1:14" x14ac:dyDescent="0.3">
      <c r="A621">
        <v>1100</v>
      </c>
      <c r="B621" s="13">
        <v>45186</v>
      </c>
      <c r="C621" t="s">
        <v>31</v>
      </c>
      <c r="D621" t="s">
        <v>30</v>
      </c>
      <c r="E621">
        <v>4795.12</v>
      </c>
      <c r="F621">
        <v>17</v>
      </c>
      <c r="G621" t="s">
        <v>28</v>
      </c>
      <c r="H621">
        <v>83.64</v>
      </c>
      <c r="I621">
        <v>528.49</v>
      </c>
      <c r="J621" t="s">
        <v>15</v>
      </c>
      <c r="K621">
        <v>0.13</v>
      </c>
      <c r="L621" t="s">
        <v>21</v>
      </c>
      <c r="M621" t="s">
        <v>29</v>
      </c>
      <c r="N621" t="s">
        <v>62</v>
      </c>
    </row>
    <row r="622" spans="1:14" x14ac:dyDescent="0.3">
      <c r="A622">
        <v>1012</v>
      </c>
      <c r="B622" s="13">
        <v>44985</v>
      </c>
      <c r="C622" t="s">
        <v>18</v>
      </c>
      <c r="D622" t="s">
        <v>13</v>
      </c>
      <c r="E622">
        <v>5650.72</v>
      </c>
      <c r="F622">
        <v>33</v>
      </c>
      <c r="G622" t="s">
        <v>22</v>
      </c>
      <c r="H622">
        <v>3831.09</v>
      </c>
      <c r="I622" s="14" t="s">
        <v>165</v>
      </c>
      <c r="J622" t="s">
        <v>15</v>
      </c>
      <c r="K622">
        <v>0.28999999999999998</v>
      </c>
      <c r="L622" t="s">
        <v>16</v>
      </c>
      <c r="M622" t="s">
        <v>17</v>
      </c>
      <c r="N622" t="s">
        <v>80</v>
      </c>
    </row>
    <row r="623" spans="1:14" x14ac:dyDescent="0.3">
      <c r="A623">
        <v>1061</v>
      </c>
      <c r="B623" s="13">
        <v>44998</v>
      </c>
      <c r="C623" t="s">
        <v>23</v>
      </c>
      <c r="D623" t="s">
        <v>27</v>
      </c>
      <c r="E623">
        <v>6321.42</v>
      </c>
      <c r="F623">
        <v>11</v>
      </c>
      <c r="G623" t="s">
        <v>14</v>
      </c>
      <c r="H623">
        <v>2594.71</v>
      </c>
      <c r="I623">
        <v>2769.52</v>
      </c>
      <c r="J623" t="s">
        <v>20</v>
      </c>
      <c r="K623">
        <v>0.01</v>
      </c>
      <c r="L623" t="s">
        <v>25</v>
      </c>
      <c r="M623" t="s">
        <v>17</v>
      </c>
      <c r="N623" t="s">
        <v>96</v>
      </c>
    </row>
    <row r="624" spans="1:14" x14ac:dyDescent="0.3">
      <c r="A624">
        <v>1019</v>
      </c>
      <c r="B624" s="13">
        <v>45074</v>
      </c>
      <c r="C624" t="s">
        <v>26</v>
      </c>
      <c r="D624" t="s">
        <v>13</v>
      </c>
      <c r="E624">
        <v>6917.45</v>
      </c>
      <c r="F624">
        <v>28</v>
      </c>
      <c r="G624" t="s">
        <v>24</v>
      </c>
      <c r="H624">
        <v>3907.86</v>
      </c>
      <c r="I624">
        <v>4205.37</v>
      </c>
      <c r="J624" t="s">
        <v>15</v>
      </c>
      <c r="K624">
        <v>0.09</v>
      </c>
      <c r="L624" t="s">
        <v>21</v>
      </c>
      <c r="M624" t="s">
        <v>29</v>
      </c>
      <c r="N624" t="s">
        <v>55</v>
      </c>
    </row>
    <row r="625" spans="1:14" x14ac:dyDescent="0.3">
      <c r="A625">
        <v>1076</v>
      </c>
      <c r="B625" s="13">
        <v>45275</v>
      </c>
      <c r="C625" t="s">
        <v>23</v>
      </c>
      <c r="D625" t="s">
        <v>19</v>
      </c>
      <c r="E625">
        <v>2607.4</v>
      </c>
      <c r="F625">
        <v>32</v>
      </c>
      <c r="G625" t="s">
        <v>22</v>
      </c>
      <c r="H625">
        <v>2636.36</v>
      </c>
      <c r="I625">
        <v>2696.78</v>
      </c>
      <c r="J625" t="s">
        <v>15</v>
      </c>
      <c r="K625">
        <v>0.09</v>
      </c>
      <c r="L625" t="s">
        <v>16</v>
      </c>
      <c r="M625" t="s">
        <v>17</v>
      </c>
      <c r="N625" t="s">
        <v>81</v>
      </c>
    </row>
    <row r="626" spans="1:14" x14ac:dyDescent="0.3">
      <c r="A626">
        <v>1009</v>
      </c>
      <c r="B626" s="13">
        <v>44989</v>
      </c>
      <c r="C626" t="s">
        <v>18</v>
      </c>
      <c r="D626" t="s">
        <v>13</v>
      </c>
      <c r="E626">
        <v>198.79</v>
      </c>
      <c r="F626">
        <v>1</v>
      </c>
      <c r="G626" t="s">
        <v>14</v>
      </c>
      <c r="H626">
        <v>3223.07</v>
      </c>
      <c r="I626">
        <v>3590.83</v>
      </c>
      <c r="J626" t="s">
        <v>15</v>
      </c>
      <c r="K626">
        <v>0.19</v>
      </c>
      <c r="L626" t="s">
        <v>25</v>
      </c>
      <c r="M626" t="s">
        <v>17</v>
      </c>
      <c r="N626" t="s">
        <v>80</v>
      </c>
    </row>
    <row r="627" spans="1:14" x14ac:dyDescent="0.3">
      <c r="A627">
        <v>1071</v>
      </c>
      <c r="B627" s="13">
        <v>45236</v>
      </c>
      <c r="C627" t="s">
        <v>18</v>
      </c>
      <c r="D627" t="s">
        <v>30</v>
      </c>
      <c r="E627">
        <v>7262.09</v>
      </c>
      <c r="F627">
        <v>47</v>
      </c>
      <c r="G627" t="s">
        <v>22</v>
      </c>
      <c r="H627">
        <v>3942.34</v>
      </c>
      <c r="I627">
        <v>4142.09</v>
      </c>
      <c r="J627" t="s">
        <v>20</v>
      </c>
      <c r="K627">
        <v>0.03</v>
      </c>
      <c r="L627" t="s">
        <v>21</v>
      </c>
      <c r="M627" t="s">
        <v>17</v>
      </c>
      <c r="N627" t="s">
        <v>64</v>
      </c>
    </row>
    <row r="628" spans="1:14" x14ac:dyDescent="0.3">
      <c r="A628">
        <v>1028</v>
      </c>
      <c r="B628" s="13">
        <v>45169</v>
      </c>
      <c r="C628" t="s">
        <v>12</v>
      </c>
      <c r="D628" t="s">
        <v>30</v>
      </c>
      <c r="E628">
        <v>5403</v>
      </c>
      <c r="F628">
        <v>28</v>
      </c>
      <c r="G628" t="s">
        <v>24</v>
      </c>
      <c r="H628">
        <v>2055.2800000000002</v>
      </c>
      <c r="I628" s="14" t="s">
        <v>164</v>
      </c>
      <c r="J628" t="s">
        <v>15</v>
      </c>
      <c r="K628">
        <v>0.19</v>
      </c>
      <c r="L628" t="s">
        <v>21</v>
      </c>
      <c r="M628" t="s">
        <v>29</v>
      </c>
      <c r="N628" t="s">
        <v>72</v>
      </c>
    </row>
    <row r="629" spans="1:14" x14ac:dyDescent="0.3">
      <c r="A629">
        <v>1078</v>
      </c>
      <c r="B629" s="13">
        <v>45292</v>
      </c>
      <c r="C629" t="s">
        <v>18</v>
      </c>
      <c r="D629" t="s">
        <v>13</v>
      </c>
      <c r="E629">
        <v>8377.57</v>
      </c>
      <c r="F629">
        <v>42</v>
      </c>
      <c r="G629" t="s">
        <v>22</v>
      </c>
      <c r="H629">
        <v>63.41</v>
      </c>
      <c r="I629">
        <v>314.93</v>
      </c>
      <c r="J629" t="s">
        <v>20</v>
      </c>
      <c r="K629">
        <v>0.03</v>
      </c>
      <c r="L629" t="s">
        <v>16</v>
      </c>
      <c r="M629" t="s">
        <v>17</v>
      </c>
      <c r="N629" t="s">
        <v>80</v>
      </c>
    </row>
    <row r="630" spans="1:14" x14ac:dyDescent="0.3">
      <c r="A630">
        <v>1095</v>
      </c>
      <c r="B630" s="13">
        <v>45256</v>
      </c>
      <c r="C630" t="s">
        <v>31</v>
      </c>
      <c r="D630" t="s">
        <v>19</v>
      </c>
      <c r="E630">
        <v>8231.74</v>
      </c>
      <c r="F630">
        <v>7</v>
      </c>
      <c r="G630" t="s">
        <v>22</v>
      </c>
      <c r="H630">
        <v>4257.24</v>
      </c>
      <c r="I630">
        <v>4355.87</v>
      </c>
      <c r="J630" t="s">
        <v>20</v>
      </c>
      <c r="K630">
        <v>0.03</v>
      </c>
      <c r="L630" t="s">
        <v>25</v>
      </c>
      <c r="M630" t="s">
        <v>29</v>
      </c>
      <c r="N630" t="s">
        <v>88</v>
      </c>
    </row>
    <row r="631" spans="1:14" x14ac:dyDescent="0.3">
      <c r="A631">
        <v>1052</v>
      </c>
      <c r="B631" s="13">
        <v>45033</v>
      </c>
      <c r="C631" t="s">
        <v>26</v>
      </c>
      <c r="D631" t="s">
        <v>27</v>
      </c>
      <c r="E631">
        <v>8448.93</v>
      </c>
      <c r="F631">
        <v>2</v>
      </c>
      <c r="G631" t="s">
        <v>22</v>
      </c>
      <c r="H631">
        <v>1935.41</v>
      </c>
      <c r="I631">
        <v>2305.44</v>
      </c>
      <c r="J631" t="s">
        <v>20</v>
      </c>
      <c r="K631">
        <v>0.22</v>
      </c>
      <c r="L631" t="s">
        <v>21</v>
      </c>
      <c r="M631" t="s">
        <v>29</v>
      </c>
      <c r="N631" t="s">
        <v>63</v>
      </c>
    </row>
    <row r="632" spans="1:14" x14ac:dyDescent="0.3">
      <c r="A632">
        <v>1083</v>
      </c>
      <c r="B632" s="13">
        <v>45152</v>
      </c>
      <c r="C632" t="s">
        <v>12</v>
      </c>
      <c r="D632" t="s">
        <v>19</v>
      </c>
      <c r="E632">
        <v>4902.4399999999996</v>
      </c>
      <c r="F632">
        <v>42</v>
      </c>
      <c r="G632" t="s">
        <v>14</v>
      </c>
      <c r="H632">
        <v>2505.41</v>
      </c>
      <c r="I632">
        <v>2638.96</v>
      </c>
      <c r="J632" t="s">
        <v>15</v>
      </c>
      <c r="K632">
        <v>0.1</v>
      </c>
      <c r="L632" t="s">
        <v>25</v>
      </c>
      <c r="M632" t="s">
        <v>29</v>
      </c>
      <c r="N632" t="s">
        <v>74</v>
      </c>
    </row>
    <row r="633" spans="1:14" x14ac:dyDescent="0.3">
      <c r="A633">
        <v>1016</v>
      </c>
      <c r="B633" s="13">
        <v>45239</v>
      </c>
      <c r="C633" t="s">
        <v>31</v>
      </c>
      <c r="D633" t="s">
        <v>27</v>
      </c>
      <c r="E633">
        <v>3402.92</v>
      </c>
      <c r="F633">
        <v>24</v>
      </c>
      <c r="G633" t="s">
        <v>24</v>
      </c>
      <c r="H633">
        <v>88.44</v>
      </c>
      <c r="I633">
        <v>338.94</v>
      </c>
      <c r="J633" t="s">
        <v>15</v>
      </c>
      <c r="K633">
        <v>0.28999999999999998</v>
      </c>
      <c r="L633" t="s">
        <v>16</v>
      </c>
      <c r="M633" t="s">
        <v>29</v>
      </c>
      <c r="N633" t="s">
        <v>86</v>
      </c>
    </row>
    <row r="634" spans="1:14" x14ac:dyDescent="0.3">
      <c r="A634">
        <v>1069</v>
      </c>
      <c r="B634" s="13">
        <v>45144</v>
      </c>
      <c r="C634" t="s">
        <v>23</v>
      </c>
      <c r="D634" t="s">
        <v>30</v>
      </c>
      <c r="E634">
        <v>7936.43</v>
      </c>
      <c r="F634">
        <v>4</v>
      </c>
      <c r="G634" t="s">
        <v>28</v>
      </c>
      <c r="H634">
        <v>2485.86</v>
      </c>
      <c r="I634" s="14" t="s">
        <v>163</v>
      </c>
      <c r="J634" t="s">
        <v>15</v>
      </c>
      <c r="K634">
        <v>0.01</v>
      </c>
      <c r="L634" t="s">
        <v>21</v>
      </c>
      <c r="M634" t="s">
        <v>29</v>
      </c>
      <c r="N634" t="s">
        <v>60</v>
      </c>
    </row>
    <row r="635" spans="1:14" x14ac:dyDescent="0.3">
      <c r="A635">
        <v>1099</v>
      </c>
      <c r="B635" s="13">
        <v>45167</v>
      </c>
      <c r="C635" t="s">
        <v>26</v>
      </c>
      <c r="D635" t="s">
        <v>19</v>
      </c>
      <c r="E635">
        <v>4567.8100000000004</v>
      </c>
      <c r="F635">
        <v>44</v>
      </c>
      <c r="G635" t="s">
        <v>14</v>
      </c>
      <c r="H635">
        <v>4933.1099999999997</v>
      </c>
      <c r="I635">
        <v>5245.86</v>
      </c>
      <c r="J635" t="s">
        <v>20</v>
      </c>
      <c r="K635">
        <v>0.13</v>
      </c>
      <c r="L635" t="s">
        <v>25</v>
      </c>
      <c r="M635" t="s">
        <v>17</v>
      </c>
      <c r="N635" t="s">
        <v>76</v>
      </c>
    </row>
    <row r="636" spans="1:14" x14ac:dyDescent="0.3">
      <c r="A636">
        <v>1012</v>
      </c>
      <c r="B636" s="13">
        <v>45185</v>
      </c>
      <c r="C636" t="s">
        <v>18</v>
      </c>
      <c r="D636" t="s">
        <v>27</v>
      </c>
      <c r="E636">
        <v>1916.08</v>
      </c>
      <c r="F636">
        <v>19</v>
      </c>
      <c r="G636" t="s">
        <v>28</v>
      </c>
      <c r="H636">
        <v>1427.42</v>
      </c>
      <c r="I636">
        <v>1763.69</v>
      </c>
      <c r="J636" t="s">
        <v>15</v>
      </c>
      <c r="K636">
        <v>0.03</v>
      </c>
      <c r="L636" t="s">
        <v>16</v>
      </c>
      <c r="M636" t="s">
        <v>17</v>
      </c>
      <c r="N636" t="s">
        <v>58</v>
      </c>
    </row>
    <row r="637" spans="1:14" x14ac:dyDescent="0.3">
      <c r="A637">
        <v>1025</v>
      </c>
      <c r="B637" s="13">
        <v>45188</v>
      </c>
      <c r="C637" t="s">
        <v>26</v>
      </c>
      <c r="D637" t="s">
        <v>13</v>
      </c>
      <c r="E637">
        <v>8564.24</v>
      </c>
      <c r="F637">
        <v>26</v>
      </c>
      <c r="G637" t="s">
        <v>28</v>
      </c>
      <c r="H637">
        <v>2007.32</v>
      </c>
      <c r="I637">
        <v>2202.87</v>
      </c>
      <c r="J637" t="s">
        <v>20</v>
      </c>
      <c r="K637">
        <v>0.11</v>
      </c>
      <c r="L637" t="s">
        <v>16</v>
      </c>
      <c r="M637" t="s">
        <v>29</v>
      </c>
      <c r="N637" t="s">
        <v>55</v>
      </c>
    </row>
    <row r="638" spans="1:14" x14ac:dyDescent="0.3">
      <c r="A638">
        <v>1052</v>
      </c>
      <c r="B638" s="13">
        <v>44931</v>
      </c>
      <c r="C638" t="s">
        <v>23</v>
      </c>
      <c r="D638" t="s">
        <v>30</v>
      </c>
      <c r="E638">
        <v>8837.34</v>
      </c>
      <c r="F638">
        <v>11</v>
      </c>
      <c r="G638" t="s">
        <v>14</v>
      </c>
      <c r="H638">
        <v>3451.59</v>
      </c>
      <c r="I638">
        <v>3929.26</v>
      </c>
      <c r="J638" t="s">
        <v>15</v>
      </c>
      <c r="K638">
        <v>0.3</v>
      </c>
      <c r="L638" t="s">
        <v>21</v>
      </c>
      <c r="M638" t="s">
        <v>17</v>
      </c>
      <c r="N638" t="s">
        <v>60</v>
      </c>
    </row>
    <row r="639" spans="1:14" x14ac:dyDescent="0.3">
      <c r="A639">
        <v>1085</v>
      </c>
      <c r="B639" s="13">
        <v>45187</v>
      </c>
      <c r="C639" t="s">
        <v>12</v>
      </c>
      <c r="D639" t="s">
        <v>13</v>
      </c>
      <c r="E639">
        <v>4716.47</v>
      </c>
      <c r="F639">
        <v>40</v>
      </c>
      <c r="G639" t="s">
        <v>14</v>
      </c>
      <c r="H639">
        <v>4083.23</v>
      </c>
      <c r="I639">
        <v>4521.57</v>
      </c>
      <c r="J639" t="s">
        <v>15</v>
      </c>
      <c r="K639">
        <v>0.27</v>
      </c>
      <c r="L639" t="s">
        <v>25</v>
      </c>
      <c r="M639" t="s">
        <v>17</v>
      </c>
      <c r="N639" t="s">
        <v>83</v>
      </c>
    </row>
    <row r="640" spans="1:14" x14ac:dyDescent="0.3">
      <c r="A640">
        <v>1100</v>
      </c>
      <c r="B640" s="13">
        <v>44980</v>
      </c>
      <c r="C640" t="s">
        <v>12</v>
      </c>
      <c r="D640" t="s">
        <v>30</v>
      </c>
      <c r="E640">
        <v>849.43</v>
      </c>
      <c r="F640">
        <v>43</v>
      </c>
      <c r="G640" t="s">
        <v>24</v>
      </c>
      <c r="H640">
        <v>2116.09</v>
      </c>
      <c r="I640">
        <v>2472.98</v>
      </c>
      <c r="J640" t="s">
        <v>15</v>
      </c>
      <c r="K640">
        <v>0.01</v>
      </c>
      <c r="L640" t="s">
        <v>21</v>
      </c>
      <c r="M640" t="s">
        <v>17</v>
      </c>
      <c r="N640" t="s">
        <v>72</v>
      </c>
    </row>
    <row r="641" spans="1:14" x14ac:dyDescent="0.3">
      <c r="A641">
        <v>1053</v>
      </c>
      <c r="B641" s="13">
        <v>44973</v>
      </c>
      <c r="C641" t="s">
        <v>12</v>
      </c>
      <c r="D641" t="s">
        <v>19</v>
      </c>
      <c r="E641">
        <v>3939.48</v>
      </c>
      <c r="F641">
        <v>11</v>
      </c>
      <c r="G641" t="s">
        <v>24</v>
      </c>
      <c r="H641">
        <v>1582.86</v>
      </c>
      <c r="I641">
        <v>1942.55</v>
      </c>
      <c r="J641" t="s">
        <v>15</v>
      </c>
      <c r="K641">
        <v>0.17</v>
      </c>
      <c r="L641" t="s">
        <v>21</v>
      </c>
      <c r="M641" t="s">
        <v>17</v>
      </c>
      <c r="N641" t="s">
        <v>74</v>
      </c>
    </row>
    <row r="642" spans="1:14" x14ac:dyDescent="0.3">
      <c r="A642">
        <v>1023</v>
      </c>
      <c r="B642" s="13">
        <v>45141</v>
      </c>
      <c r="C642" t="s">
        <v>18</v>
      </c>
      <c r="D642" t="s">
        <v>19</v>
      </c>
      <c r="E642">
        <v>8055.02</v>
      </c>
      <c r="F642">
        <v>45</v>
      </c>
      <c r="G642" t="s">
        <v>22</v>
      </c>
      <c r="H642">
        <v>4692.24</v>
      </c>
      <c r="I642">
        <v>4825.92</v>
      </c>
      <c r="J642" t="s">
        <v>20</v>
      </c>
      <c r="K642">
        <v>0.19</v>
      </c>
      <c r="L642" t="s">
        <v>25</v>
      </c>
      <c r="M642" t="s">
        <v>17</v>
      </c>
      <c r="N642" t="s">
        <v>56</v>
      </c>
    </row>
    <row r="643" spans="1:14" x14ac:dyDescent="0.3">
      <c r="A643">
        <v>1016</v>
      </c>
      <c r="B643" s="13">
        <v>45103</v>
      </c>
      <c r="C643" t="s">
        <v>31</v>
      </c>
      <c r="D643" t="s">
        <v>30</v>
      </c>
      <c r="E643">
        <v>9027.56</v>
      </c>
      <c r="F643">
        <v>3</v>
      </c>
      <c r="G643" t="s">
        <v>28</v>
      </c>
      <c r="H643">
        <v>3401.87</v>
      </c>
      <c r="I643">
        <v>3733.71</v>
      </c>
      <c r="J643" t="s">
        <v>20</v>
      </c>
      <c r="K643">
        <v>0.06</v>
      </c>
      <c r="L643" t="s">
        <v>25</v>
      </c>
      <c r="M643" t="s">
        <v>17</v>
      </c>
      <c r="N643" t="s">
        <v>62</v>
      </c>
    </row>
    <row r="644" spans="1:14" x14ac:dyDescent="0.3">
      <c r="A644">
        <v>1057</v>
      </c>
      <c r="B644" s="13">
        <v>44935</v>
      </c>
      <c r="C644" t="s">
        <v>31</v>
      </c>
      <c r="D644" t="s">
        <v>30</v>
      </c>
      <c r="E644">
        <v>2114.38</v>
      </c>
      <c r="F644">
        <v>12</v>
      </c>
      <c r="G644" t="s">
        <v>24</v>
      </c>
      <c r="H644">
        <v>639.16</v>
      </c>
      <c r="I644">
        <v>746.28</v>
      </c>
      <c r="J644" t="s">
        <v>20</v>
      </c>
      <c r="K644">
        <v>0.04</v>
      </c>
      <c r="L644" t="s">
        <v>25</v>
      </c>
      <c r="M644" t="s">
        <v>17</v>
      </c>
      <c r="N644" t="s">
        <v>62</v>
      </c>
    </row>
    <row r="645" spans="1:14" x14ac:dyDescent="0.3">
      <c r="A645">
        <v>1039</v>
      </c>
      <c r="B645" s="13">
        <v>45025</v>
      </c>
      <c r="C645" t="s">
        <v>26</v>
      </c>
      <c r="D645" t="s">
        <v>30</v>
      </c>
      <c r="E645">
        <v>763.04</v>
      </c>
      <c r="F645">
        <v>3</v>
      </c>
      <c r="G645" t="s">
        <v>22</v>
      </c>
      <c r="H645">
        <v>391.19</v>
      </c>
      <c r="I645">
        <v>471.75</v>
      </c>
      <c r="J645" t="s">
        <v>20</v>
      </c>
      <c r="K645">
        <v>0.27</v>
      </c>
      <c r="L645" t="s">
        <v>16</v>
      </c>
      <c r="M645" t="s">
        <v>29</v>
      </c>
      <c r="N645" t="s">
        <v>71</v>
      </c>
    </row>
    <row r="646" spans="1:14" x14ac:dyDescent="0.3">
      <c r="A646">
        <v>1053</v>
      </c>
      <c r="B646" s="13">
        <v>44946</v>
      </c>
      <c r="C646" t="s">
        <v>18</v>
      </c>
      <c r="D646" t="s">
        <v>19</v>
      </c>
      <c r="E646">
        <v>8785.77</v>
      </c>
      <c r="F646">
        <v>42</v>
      </c>
      <c r="G646" t="s">
        <v>24</v>
      </c>
      <c r="H646">
        <v>2443.5700000000002</v>
      </c>
      <c r="I646" s="14" t="s">
        <v>162</v>
      </c>
      <c r="J646" t="s">
        <v>15</v>
      </c>
      <c r="K646">
        <v>0.28999999999999998</v>
      </c>
      <c r="L646" t="s">
        <v>16</v>
      </c>
      <c r="M646" t="s">
        <v>29</v>
      </c>
      <c r="N646" t="s">
        <v>56</v>
      </c>
    </row>
    <row r="647" spans="1:14" x14ac:dyDescent="0.3">
      <c r="A647">
        <v>1042</v>
      </c>
      <c r="B647" s="13">
        <v>45167</v>
      </c>
      <c r="C647" t="s">
        <v>12</v>
      </c>
      <c r="D647" t="s">
        <v>27</v>
      </c>
      <c r="E647">
        <v>3955.11</v>
      </c>
      <c r="F647">
        <v>27</v>
      </c>
      <c r="G647" t="s">
        <v>14</v>
      </c>
      <c r="H647">
        <v>1139.45</v>
      </c>
      <c r="I647">
        <v>1454.41</v>
      </c>
      <c r="J647" t="s">
        <v>20</v>
      </c>
      <c r="K647">
        <v>0.3</v>
      </c>
      <c r="L647" t="s">
        <v>25</v>
      </c>
      <c r="M647" t="s">
        <v>29</v>
      </c>
      <c r="N647" t="s">
        <v>100</v>
      </c>
    </row>
    <row r="648" spans="1:14" x14ac:dyDescent="0.3">
      <c r="A648">
        <v>1058</v>
      </c>
      <c r="B648" s="13">
        <v>44987</v>
      </c>
      <c r="C648" t="s">
        <v>12</v>
      </c>
      <c r="D648" t="s">
        <v>13</v>
      </c>
      <c r="E648">
        <v>5463.43</v>
      </c>
      <c r="F648">
        <v>49</v>
      </c>
      <c r="G648" t="s">
        <v>24</v>
      </c>
      <c r="H648">
        <v>1307.22</v>
      </c>
      <c r="I648">
        <v>1528.4</v>
      </c>
      <c r="J648" t="s">
        <v>20</v>
      </c>
      <c r="K648">
        <v>0.24</v>
      </c>
      <c r="L648" t="s">
        <v>16</v>
      </c>
      <c r="M648" t="s">
        <v>17</v>
      </c>
      <c r="N648" t="s">
        <v>83</v>
      </c>
    </row>
    <row r="649" spans="1:14" x14ac:dyDescent="0.3">
      <c r="A649">
        <v>1039</v>
      </c>
      <c r="B649" s="13">
        <v>45104</v>
      </c>
      <c r="C649" t="s">
        <v>23</v>
      </c>
      <c r="D649" t="s">
        <v>13</v>
      </c>
      <c r="E649">
        <v>9683.85</v>
      </c>
      <c r="F649">
        <v>2</v>
      </c>
      <c r="G649" t="s">
        <v>28</v>
      </c>
      <c r="H649">
        <v>4394.58</v>
      </c>
      <c r="I649">
        <v>4545.78</v>
      </c>
      <c r="J649" t="s">
        <v>20</v>
      </c>
      <c r="K649">
        <v>0.2</v>
      </c>
      <c r="L649" t="s">
        <v>21</v>
      </c>
      <c r="M649" t="s">
        <v>17</v>
      </c>
      <c r="N649" t="s">
        <v>69</v>
      </c>
    </row>
    <row r="650" spans="1:14" x14ac:dyDescent="0.3">
      <c r="A650">
        <v>1014</v>
      </c>
      <c r="B650" s="13">
        <v>45264</v>
      </c>
      <c r="C650" t="s">
        <v>23</v>
      </c>
      <c r="D650" t="s">
        <v>19</v>
      </c>
      <c r="E650">
        <v>758.99</v>
      </c>
      <c r="F650">
        <v>49</v>
      </c>
      <c r="G650" t="s">
        <v>24</v>
      </c>
      <c r="H650">
        <v>493.35</v>
      </c>
      <c r="I650">
        <v>799.27</v>
      </c>
      <c r="J650" t="s">
        <v>15</v>
      </c>
      <c r="K650">
        <v>0.1</v>
      </c>
      <c r="L650" t="s">
        <v>25</v>
      </c>
      <c r="M650" t="s">
        <v>29</v>
      </c>
      <c r="N650" t="s">
        <v>81</v>
      </c>
    </row>
    <row r="651" spans="1:14" x14ac:dyDescent="0.3">
      <c r="A651">
        <v>1095</v>
      </c>
      <c r="B651" s="13">
        <v>44988</v>
      </c>
      <c r="C651" t="s">
        <v>12</v>
      </c>
      <c r="D651" t="s">
        <v>13</v>
      </c>
      <c r="E651">
        <v>6518.35</v>
      </c>
      <c r="F651">
        <v>16</v>
      </c>
      <c r="G651" t="s">
        <v>28</v>
      </c>
      <c r="H651">
        <v>3591.05</v>
      </c>
      <c r="I651" s="14" t="s">
        <v>161</v>
      </c>
      <c r="J651" t="s">
        <v>20</v>
      </c>
      <c r="K651">
        <v>0.05</v>
      </c>
      <c r="L651" t="s">
        <v>21</v>
      </c>
      <c r="M651" t="s">
        <v>17</v>
      </c>
      <c r="N651" t="s">
        <v>83</v>
      </c>
    </row>
    <row r="652" spans="1:14" x14ac:dyDescent="0.3">
      <c r="A652">
        <v>1005</v>
      </c>
      <c r="B652" s="13">
        <v>45071</v>
      </c>
      <c r="C652" t="s">
        <v>12</v>
      </c>
      <c r="D652" t="s">
        <v>30</v>
      </c>
      <c r="E652">
        <v>833.64</v>
      </c>
      <c r="F652">
        <v>2</v>
      </c>
      <c r="G652" t="s">
        <v>14</v>
      </c>
      <c r="H652">
        <v>1392.15</v>
      </c>
      <c r="I652" s="14" t="s">
        <v>160</v>
      </c>
      <c r="J652" t="s">
        <v>20</v>
      </c>
      <c r="K652">
        <v>0.02</v>
      </c>
      <c r="L652" t="s">
        <v>25</v>
      </c>
      <c r="M652" t="s">
        <v>17</v>
      </c>
      <c r="N652" t="s">
        <v>72</v>
      </c>
    </row>
    <row r="653" spans="1:14" x14ac:dyDescent="0.3">
      <c r="A653">
        <v>1035</v>
      </c>
      <c r="B653" s="13">
        <v>45142</v>
      </c>
      <c r="C653" t="s">
        <v>18</v>
      </c>
      <c r="D653" t="s">
        <v>27</v>
      </c>
      <c r="E653">
        <v>3817.14</v>
      </c>
      <c r="F653">
        <v>30</v>
      </c>
      <c r="G653" t="s">
        <v>28</v>
      </c>
      <c r="H653">
        <v>3813.62</v>
      </c>
      <c r="I653">
        <v>3839.72</v>
      </c>
      <c r="J653" t="s">
        <v>15</v>
      </c>
      <c r="K653">
        <v>0.21</v>
      </c>
      <c r="L653" t="s">
        <v>21</v>
      </c>
      <c r="M653" t="s">
        <v>29</v>
      </c>
      <c r="N653" t="s">
        <v>58</v>
      </c>
    </row>
    <row r="654" spans="1:14" x14ac:dyDescent="0.3">
      <c r="A654">
        <v>1087</v>
      </c>
      <c r="B654" s="13">
        <v>44929</v>
      </c>
      <c r="C654" t="s">
        <v>31</v>
      </c>
      <c r="D654" t="s">
        <v>13</v>
      </c>
      <c r="E654">
        <v>8057.76</v>
      </c>
      <c r="F654">
        <v>20</v>
      </c>
      <c r="G654" t="s">
        <v>24</v>
      </c>
      <c r="H654">
        <v>3625.94</v>
      </c>
      <c r="I654">
        <v>3880.53</v>
      </c>
      <c r="J654" t="s">
        <v>15</v>
      </c>
      <c r="K654">
        <v>0.24</v>
      </c>
      <c r="L654" t="s">
        <v>25</v>
      </c>
      <c r="M654" t="s">
        <v>29</v>
      </c>
      <c r="N654" t="s">
        <v>67</v>
      </c>
    </row>
    <row r="655" spans="1:14" x14ac:dyDescent="0.3">
      <c r="A655">
        <v>1093</v>
      </c>
      <c r="B655" s="13">
        <v>45086</v>
      </c>
      <c r="C655" t="s">
        <v>23</v>
      </c>
      <c r="D655" t="s">
        <v>27</v>
      </c>
      <c r="E655">
        <v>4391.38</v>
      </c>
      <c r="F655">
        <v>38</v>
      </c>
      <c r="G655" t="s">
        <v>22</v>
      </c>
      <c r="H655">
        <v>86.59</v>
      </c>
      <c r="I655">
        <v>390.89</v>
      </c>
      <c r="J655" t="s">
        <v>20</v>
      </c>
      <c r="K655">
        <v>0.25</v>
      </c>
      <c r="L655" t="s">
        <v>21</v>
      </c>
      <c r="M655" t="s">
        <v>29</v>
      </c>
      <c r="N655" t="s">
        <v>96</v>
      </c>
    </row>
    <row r="656" spans="1:14" x14ac:dyDescent="0.3">
      <c r="A656">
        <v>1075</v>
      </c>
      <c r="B656" s="13">
        <v>45153</v>
      </c>
      <c r="C656" t="s">
        <v>31</v>
      </c>
      <c r="D656" t="s">
        <v>30</v>
      </c>
      <c r="E656">
        <v>9972.11</v>
      </c>
      <c r="F656">
        <v>28</v>
      </c>
      <c r="G656" t="s">
        <v>14</v>
      </c>
      <c r="H656">
        <v>2570.2199999999998</v>
      </c>
      <c r="I656" s="14" t="s">
        <v>159</v>
      </c>
      <c r="J656" t="s">
        <v>20</v>
      </c>
      <c r="K656">
        <v>0.27</v>
      </c>
      <c r="L656" t="s">
        <v>25</v>
      </c>
      <c r="M656" t="s">
        <v>17</v>
      </c>
      <c r="N656" t="s">
        <v>62</v>
      </c>
    </row>
    <row r="657" spans="1:14" x14ac:dyDescent="0.3">
      <c r="A657">
        <v>1018</v>
      </c>
      <c r="B657" s="13">
        <v>45195</v>
      </c>
      <c r="C657" t="s">
        <v>18</v>
      </c>
      <c r="D657" t="s">
        <v>13</v>
      </c>
      <c r="E657">
        <v>5634.69</v>
      </c>
      <c r="F657">
        <v>25</v>
      </c>
      <c r="G657" t="s">
        <v>24</v>
      </c>
      <c r="H657">
        <v>739.63</v>
      </c>
      <c r="I657">
        <v>1103.03</v>
      </c>
      <c r="J657" t="s">
        <v>15</v>
      </c>
      <c r="K657">
        <v>0.26</v>
      </c>
      <c r="L657" t="s">
        <v>25</v>
      </c>
      <c r="M657" t="s">
        <v>17</v>
      </c>
      <c r="N657" t="s">
        <v>80</v>
      </c>
    </row>
    <row r="658" spans="1:14" x14ac:dyDescent="0.3">
      <c r="A658">
        <v>1076</v>
      </c>
      <c r="B658" s="13">
        <v>45046</v>
      </c>
      <c r="C658" t="s">
        <v>12</v>
      </c>
      <c r="D658" t="s">
        <v>19</v>
      </c>
      <c r="E658">
        <v>3279.51</v>
      </c>
      <c r="F658">
        <v>32</v>
      </c>
      <c r="G658" t="s">
        <v>14</v>
      </c>
      <c r="H658">
        <v>4337.82</v>
      </c>
      <c r="I658">
        <v>4460.71</v>
      </c>
      <c r="J658" t="s">
        <v>20</v>
      </c>
      <c r="K658">
        <v>0.3</v>
      </c>
      <c r="L658" t="s">
        <v>16</v>
      </c>
      <c r="M658" t="s">
        <v>17</v>
      </c>
      <c r="N658" t="s">
        <v>74</v>
      </c>
    </row>
    <row r="659" spans="1:14" x14ac:dyDescent="0.3">
      <c r="A659">
        <v>1009</v>
      </c>
      <c r="B659" s="13">
        <v>45015</v>
      </c>
      <c r="C659" t="s">
        <v>31</v>
      </c>
      <c r="D659" t="s">
        <v>27</v>
      </c>
      <c r="E659">
        <v>2279.1</v>
      </c>
      <c r="F659">
        <v>10</v>
      </c>
      <c r="G659" t="s">
        <v>14</v>
      </c>
      <c r="H659">
        <v>4364.3500000000004</v>
      </c>
      <c r="I659">
        <v>4710.1000000000004</v>
      </c>
      <c r="J659" t="s">
        <v>15</v>
      </c>
      <c r="K659">
        <v>7.0000000000000007E-2</v>
      </c>
      <c r="L659" t="s">
        <v>21</v>
      </c>
      <c r="M659" t="s">
        <v>29</v>
      </c>
      <c r="N659" t="s">
        <v>86</v>
      </c>
    </row>
    <row r="660" spans="1:14" x14ac:dyDescent="0.3">
      <c r="A660">
        <v>1074</v>
      </c>
      <c r="B660" s="13">
        <v>45255</v>
      </c>
      <c r="C660" t="s">
        <v>12</v>
      </c>
      <c r="D660" t="s">
        <v>30</v>
      </c>
      <c r="E660">
        <v>3570.15</v>
      </c>
      <c r="F660">
        <v>42</v>
      </c>
      <c r="G660" t="s">
        <v>24</v>
      </c>
      <c r="H660">
        <v>2120.81</v>
      </c>
      <c r="I660">
        <v>2611.94</v>
      </c>
      <c r="J660" t="s">
        <v>20</v>
      </c>
      <c r="K660">
        <v>0.23</v>
      </c>
      <c r="L660" t="s">
        <v>16</v>
      </c>
      <c r="M660" t="s">
        <v>29</v>
      </c>
      <c r="N660" t="s">
        <v>72</v>
      </c>
    </row>
    <row r="661" spans="1:14" x14ac:dyDescent="0.3">
      <c r="A661">
        <v>1058</v>
      </c>
      <c r="B661" s="13">
        <v>44994</v>
      </c>
      <c r="C661" t="s">
        <v>12</v>
      </c>
      <c r="D661" t="s">
        <v>27</v>
      </c>
      <c r="E661">
        <v>3788.08</v>
      </c>
      <c r="F661">
        <v>40</v>
      </c>
      <c r="G661" t="s">
        <v>24</v>
      </c>
      <c r="H661">
        <v>2249.7600000000002</v>
      </c>
      <c r="I661">
        <v>2598.4</v>
      </c>
      <c r="J661" t="s">
        <v>20</v>
      </c>
      <c r="K661">
        <v>0.18</v>
      </c>
      <c r="L661" t="s">
        <v>21</v>
      </c>
      <c r="M661" t="s">
        <v>17</v>
      </c>
      <c r="N661" t="s">
        <v>100</v>
      </c>
    </row>
    <row r="662" spans="1:14" x14ac:dyDescent="0.3">
      <c r="A662">
        <v>1017</v>
      </c>
      <c r="B662" s="13">
        <v>45283</v>
      </c>
      <c r="C662" t="s">
        <v>26</v>
      </c>
      <c r="D662" t="s">
        <v>13</v>
      </c>
      <c r="E662">
        <v>780.27</v>
      </c>
      <c r="F662">
        <v>33</v>
      </c>
      <c r="G662" t="s">
        <v>22</v>
      </c>
      <c r="H662">
        <v>1551.25</v>
      </c>
      <c r="I662">
        <v>1994.01</v>
      </c>
      <c r="J662" t="s">
        <v>20</v>
      </c>
      <c r="K662">
        <v>0.08</v>
      </c>
      <c r="L662" t="s">
        <v>16</v>
      </c>
      <c r="M662" t="s">
        <v>29</v>
      </c>
      <c r="N662" t="s">
        <v>55</v>
      </c>
    </row>
    <row r="663" spans="1:14" x14ac:dyDescent="0.3">
      <c r="A663">
        <v>1007</v>
      </c>
      <c r="B663" s="13">
        <v>45024</v>
      </c>
      <c r="C663" t="s">
        <v>31</v>
      </c>
      <c r="D663" t="s">
        <v>13</v>
      </c>
      <c r="E663">
        <v>3758.78</v>
      </c>
      <c r="F663">
        <v>13</v>
      </c>
      <c r="G663" t="s">
        <v>14</v>
      </c>
      <c r="H663">
        <v>3597.2</v>
      </c>
      <c r="I663" s="14" t="s">
        <v>158</v>
      </c>
      <c r="J663" t="s">
        <v>20</v>
      </c>
      <c r="K663">
        <v>0.28999999999999998</v>
      </c>
      <c r="L663" t="s">
        <v>25</v>
      </c>
      <c r="M663" t="s">
        <v>29</v>
      </c>
      <c r="N663" t="s">
        <v>67</v>
      </c>
    </row>
    <row r="664" spans="1:14" x14ac:dyDescent="0.3">
      <c r="A664">
        <v>1046</v>
      </c>
      <c r="B664" s="13">
        <v>45193</v>
      </c>
      <c r="C664" t="s">
        <v>31</v>
      </c>
      <c r="D664" t="s">
        <v>19</v>
      </c>
      <c r="E664">
        <v>4695.96</v>
      </c>
      <c r="F664">
        <v>41</v>
      </c>
      <c r="G664" t="s">
        <v>14</v>
      </c>
      <c r="H664">
        <v>1825.37</v>
      </c>
      <c r="I664">
        <v>2073.88</v>
      </c>
      <c r="J664" t="s">
        <v>20</v>
      </c>
      <c r="K664">
        <v>0.27</v>
      </c>
      <c r="L664" t="s">
        <v>16</v>
      </c>
      <c r="M664" t="s">
        <v>17</v>
      </c>
      <c r="N664" t="s">
        <v>88</v>
      </c>
    </row>
    <row r="665" spans="1:14" x14ac:dyDescent="0.3">
      <c r="A665">
        <v>1013</v>
      </c>
      <c r="B665" s="13">
        <v>45031</v>
      </c>
      <c r="C665" t="s">
        <v>12</v>
      </c>
      <c r="D665" t="s">
        <v>30</v>
      </c>
      <c r="E665">
        <v>7255.1</v>
      </c>
      <c r="F665">
        <v>42</v>
      </c>
      <c r="G665" t="s">
        <v>24</v>
      </c>
      <c r="H665">
        <v>1375.57</v>
      </c>
      <c r="I665">
        <v>1729.71</v>
      </c>
      <c r="J665" t="s">
        <v>15</v>
      </c>
      <c r="K665">
        <v>0.04</v>
      </c>
      <c r="L665" t="s">
        <v>16</v>
      </c>
      <c r="M665" t="s">
        <v>29</v>
      </c>
      <c r="N665" t="s">
        <v>72</v>
      </c>
    </row>
    <row r="666" spans="1:14" x14ac:dyDescent="0.3">
      <c r="A666">
        <v>1040</v>
      </c>
      <c r="B666" s="13">
        <v>45249</v>
      </c>
      <c r="C666" t="s">
        <v>18</v>
      </c>
      <c r="D666" t="s">
        <v>30</v>
      </c>
      <c r="E666">
        <v>6601.62</v>
      </c>
      <c r="F666">
        <v>47</v>
      </c>
      <c r="G666" t="s">
        <v>28</v>
      </c>
      <c r="H666">
        <v>2189.54</v>
      </c>
      <c r="I666">
        <v>2617</v>
      </c>
      <c r="J666" t="s">
        <v>15</v>
      </c>
      <c r="K666">
        <v>0.01</v>
      </c>
      <c r="L666" t="s">
        <v>25</v>
      </c>
      <c r="M666" t="s">
        <v>29</v>
      </c>
      <c r="N666" t="s">
        <v>64</v>
      </c>
    </row>
    <row r="667" spans="1:14" x14ac:dyDescent="0.3">
      <c r="A667">
        <v>1042</v>
      </c>
      <c r="B667" s="13">
        <v>45049</v>
      </c>
      <c r="C667" t="s">
        <v>26</v>
      </c>
      <c r="D667" t="s">
        <v>19</v>
      </c>
      <c r="E667">
        <v>7116.78</v>
      </c>
      <c r="F667">
        <v>37</v>
      </c>
      <c r="G667" t="s">
        <v>24</v>
      </c>
      <c r="H667">
        <v>502.86</v>
      </c>
      <c r="I667">
        <v>687.6</v>
      </c>
      <c r="J667" t="s">
        <v>20</v>
      </c>
      <c r="K667">
        <v>0.21</v>
      </c>
      <c r="L667" t="s">
        <v>16</v>
      </c>
      <c r="M667" t="s">
        <v>29</v>
      </c>
      <c r="N667" t="s">
        <v>76</v>
      </c>
    </row>
    <row r="668" spans="1:14" x14ac:dyDescent="0.3">
      <c r="A668">
        <v>1009</v>
      </c>
      <c r="B668" s="13">
        <v>44955</v>
      </c>
      <c r="C668" t="s">
        <v>12</v>
      </c>
      <c r="D668" t="s">
        <v>19</v>
      </c>
      <c r="E668">
        <v>182.8</v>
      </c>
      <c r="F668">
        <v>16</v>
      </c>
      <c r="G668" t="s">
        <v>14</v>
      </c>
      <c r="H668">
        <v>3745.69</v>
      </c>
      <c r="I668">
        <v>3883.77</v>
      </c>
      <c r="J668" t="s">
        <v>20</v>
      </c>
      <c r="K668">
        <v>0.18</v>
      </c>
      <c r="L668" t="s">
        <v>25</v>
      </c>
      <c r="M668" t="s">
        <v>17</v>
      </c>
      <c r="N668" t="s">
        <v>74</v>
      </c>
    </row>
    <row r="669" spans="1:14" x14ac:dyDescent="0.3">
      <c r="A669">
        <v>1050</v>
      </c>
      <c r="B669" s="13">
        <v>45063</v>
      </c>
      <c r="C669" t="s">
        <v>23</v>
      </c>
      <c r="D669" t="s">
        <v>30</v>
      </c>
      <c r="E669">
        <v>2254.91</v>
      </c>
      <c r="F669">
        <v>45</v>
      </c>
      <c r="G669" t="s">
        <v>24</v>
      </c>
      <c r="H669">
        <v>112.35</v>
      </c>
      <c r="I669">
        <v>586.17999999999995</v>
      </c>
      <c r="J669" t="s">
        <v>20</v>
      </c>
      <c r="K669">
        <v>0.28000000000000003</v>
      </c>
      <c r="L669" t="s">
        <v>21</v>
      </c>
      <c r="M669" t="s">
        <v>17</v>
      </c>
      <c r="N669" t="s">
        <v>60</v>
      </c>
    </row>
    <row r="670" spans="1:14" x14ac:dyDescent="0.3">
      <c r="A670">
        <v>1027</v>
      </c>
      <c r="B670" s="13">
        <v>45121</v>
      </c>
      <c r="C670" t="s">
        <v>23</v>
      </c>
      <c r="D670" t="s">
        <v>27</v>
      </c>
      <c r="E670">
        <v>6650.67</v>
      </c>
      <c r="F670">
        <v>22</v>
      </c>
      <c r="G670" t="s">
        <v>22</v>
      </c>
      <c r="H670">
        <v>3240.2</v>
      </c>
      <c r="I670" s="14" t="s">
        <v>157</v>
      </c>
      <c r="J670" t="s">
        <v>15</v>
      </c>
      <c r="K670">
        <v>7.0000000000000007E-2</v>
      </c>
      <c r="L670" t="s">
        <v>16</v>
      </c>
      <c r="M670" t="s">
        <v>29</v>
      </c>
      <c r="N670" t="s">
        <v>96</v>
      </c>
    </row>
    <row r="671" spans="1:14" x14ac:dyDescent="0.3">
      <c r="A671">
        <v>1066</v>
      </c>
      <c r="B671" s="13">
        <v>45152</v>
      </c>
      <c r="C671" t="s">
        <v>26</v>
      </c>
      <c r="D671" t="s">
        <v>27</v>
      </c>
      <c r="E671">
        <v>4891.49</v>
      </c>
      <c r="F671">
        <v>20</v>
      </c>
      <c r="G671" t="s">
        <v>28</v>
      </c>
      <c r="H671">
        <v>955.18</v>
      </c>
      <c r="I671">
        <v>1072.82</v>
      </c>
      <c r="J671" t="s">
        <v>15</v>
      </c>
      <c r="K671">
        <v>0.03</v>
      </c>
      <c r="L671" t="s">
        <v>25</v>
      </c>
      <c r="M671" t="s">
        <v>17</v>
      </c>
      <c r="N671" t="s">
        <v>63</v>
      </c>
    </row>
    <row r="672" spans="1:14" x14ac:dyDescent="0.3">
      <c r="A672">
        <v>1005</v>
      </c>
      <c r="B672" s="13">
        <v>45258</v>
      </c>
      <c r="C672" t="s">
        <v>18</v>
      </c>
      <c r="D672" t="s">
        <v>19</v>
      </c>
      <c r="E672">
        <v>152.6</v>
      </c>
      <c r="F672">
        <v>43</v>
      </c>
      <c r="G672" t="s">
        <v>24</v>
      </c>
      <c r="H672">
        <v>1200.4000000000001</v>
      </c>
      <c r="I672">
        <v>1430.45</v>
      </c>
      <c r="J672" t="s">
        <v>15</v>
      </c>
      <c r="K672">
        <v>0.08</v>
      </c>
      <c r="L672" t="s">
        <v>25</v>
      </c>
      <c r="M672" t="s">
        <v>17</v>
      </c>
      <c r="N672" t="s">
        <v>56</v>
      </c>
    </row>
    <row r="673" spans="1:14" x14ac:dyDescent="0.3">
      <c r="A673">
        <v>1029</v>
      </c>
      <c r="B673" s="13">
        <v>45096</v>
      </c>
      <c r="C673" t="s">
        <v>12</v>
      </c>
      <c r="D673" t="s">
        <v>27</v>
      </c>
      <c r="E673">
        <v>8064.5</v>
      </c>
      <c r="F673">
        <v>27</v>
      </c>
      <c r="G673" t="s">
        <v>22</v>
      </c>
      <c r="H673">
        <v>3196.38</v>
      </c>
      <c r="I673" s="14" t="s">
        <v>156</v>
      </c>
      <c r="J673" t="s">
        <v>15</v>
      </c>
      <c r="K673">
        <v>0.01</v>
      </c>
      <c r="L673" t="s">
        <v>16</v>
      </c>
      <c r="M673" t="s">
        <v>17</v>
      </c>
      <c r="N673" t="s">
        <v>100</v>
      </c>
    </row>
    <row r="674" spans="1:14" x14ac:dyDescent="0.3">
      <c r="A674">
        <v>1037</v>
      </c>
      <c r="B674" s="13">
        <v>44935</v>
      </c>
      <c r="C674" t="s">
        <v>31</v>
      </c>
      <c r="D674" t="s">
        <v>30</v>
      </c>
      <c r="E674">
        <v>7750.81</v>
      </c>
      <c r="F674">
        <v>41</v>
      </c>
      <c r="G674" t="s">
        <v>14</v>
      </c>
      <c r="H674">
        <v>4965.07</v>
      </c>
      <c r="I674">
        <v>5243.13</v>
      </c>
      <c r="J674" t="s">
        <v>15</v>
      </c>
      <c r="K674">
        <v>0.01</v>
      </c>
      <c r="L674" t="s">
        <v>21</v>
      </c>
      <c r="M674" t="s">
        <v>29</v>
      </c>
      <c r="N674" t="s">
        <v>62</v>
      </c>
    </row>
    <row r="675" spans="1:14" x14ac:dyDescent="0.3">
      <c r="A675">
        <v>1038</v>
      </c>
      <c r="B675" s="13">
        <v>44966</v>
      </c>
      <c r="C675" t="s">
        <v>26</v>
      </c>
      <c r="D675" t="s">
        <v>13</v>
      </c>
      <c r="E675">
        <v>5529.35</v>
      </c>
      <c r="F675">
        <v>16</v>
      </c>
      <c r="G675" t="s">
        <v>24</v>
      </c>
      <c r="H675">
        <v>3899.7</v>
      </c>
      <c r="I675">
        <v>4228.18</v>
      </c>
      <c r="J675" t="s">
        <v>15</v>
      </c>
      <c r="K675">
        <v>0.27</v>
      </c>
      <c r="L675" t="s">
        <v>16</v>
      </c>
      <c r="M675" t="s">
        <v>17</v>
      </c>
      <c r="N675" t="s">
        <v>55</v>
      </c>
    </row>
    <row r="676" spans="1:14" x14ac:dyDescent="0.3">
      <c r="A676">
        <v>1083</v>
      </c>
      <c r="B676" s="13">
        <v>44951</v>
      </c>
      <c r="C676" t="s">
        <v>18</v>
      </c>
      <c r="D676" t="s">
        <v>13</v>
      </c>
      <c r="E676">
        <v>757.99</v>
      </c>
      <c r="F676">
        <v>34</v>
      </c>
      <c r="G676" t="s">
        <v>14</v>
      </c>
      <c r="H676">
        <v>1167.9100000000001</v>
      </c>
      <c r="I676" s="14" t="s">
        <v>155</v>
      </c>
      <c r="J676" t="s">
        <v>15</v>
      </c>
      <c r="K676">
        <v>0.11</v>
      </c>
      <c r="L676" t="s">
        <v>25</v>
      </c>
      <c r="M676" t="s">
        <v>29</v>
      </c>
      <c r="N676" t="s">
        <v>80</v>
      </c>
    </row>
    <row r="677" spans="1:14" x14ac:dyDescent="0.3">
      <c r="A677">
        <v>1008</v>
      </c>
      <c r="B677" s="13">
        <v>45187</v>
      </c>
      <c r="C677" t="s">
        <v>31</v>
      </c>
      <c r="D677" t="s">
        <v>27</v>
      </c>
      <c r="E677">
        <v>7688.5</v>
      </c>
      <c r="F677">
        <v>32</v>
      </c>
      <c r="G677" t="s">
        <v>22</v>
      </c>
      <c r="H677">
        <v>921.32</v>
      </c>
      <c r="I677">
        <v>1236.0999999999999</v>
      </c>
      <c r="J677" t="s">
        <v>15</v>
      </c>
      <c r="K677">
        <v>0.12</v>
      </c>
      <c r="L677" t="s">
        <v>21</v>
      </c>
      <c r="M677" t="s">
        <v>29</v>
      </c>
      <c r="N677" t="s">
        <v>86</v>
      </c>
    </row>
    <row r="678" spans="1:14" x14ac:dyDescent="0.3">
      <c r="A678">
        <v>1065</v>
      </c>
      <c r="B678" s="13">
        <v>45152</v>
      </c>
      <c r="C678" t="s">
        <v>23</v>
      </c>
      <c r="D678" t="s">
        <v>19</v>
      </c>
      <c r="E678">
        <v>5878.76</v>
      </c>
      <c r="F678">
        <v>26</v>
      </c>
      <c r="G678" t="s">
        <v>14</v>
      </c>
      <c r="H678">
        <v>4337.8500000000004</v>
      </c>
      <c r="I678" s="14" t="s">
        <v>154</v>
      </c>
      <c r="J678" t="s">
        <v>20</v>
      </c>
      <c r="K678">
        <v>0.01</v>
      </c>
      <c r="L678" t="s">
        <v>16</v>
      </c>
      <c r="M678" t="s">
        <v>17</v>
      </c>
      <c r="N678" t="s">
        <v>81</v>
      </c>
    </row>
    <row r="679" spans="1:14" x14ac:dyDescent="0.3">
      <c r="A679">
        <v>1086</v>
      </c>
      <c r="B679" s="13">
        <v>45050</v>
      </c>
      <c r="C679" t="s">
        <v>23</v>
      </c>
      <c r="D679" t="s">
        <v>19</v>
      </c>
      <c r="E679">
        <v>7841.4</v>
      </c>
      <c r="F679">
        <v>25</v>
      </c>
      <c r="G679" t="s">
        <v>22</v>
      </c>
      <c r="H679">
        <v>2248.71</v>
      </c>
      <c r="I679">
        <v>2626.02</v>
      </c>
      <c r="J679" t="s">
        <v>15</v>
      </c>
      <c r="K679">
        <v>0.08</v>
      </c>
      <c r="L679" t="s">
        <v>25</v>
      </c>
      <c r="M679" t="s">
        <v>29</v>
      </c>
      <c r="N679" t="s">
        <v>81</v>
      </c>
    </row>
    <row r="680" spans="1:14" x14ac:dyDescent="0.3">
      <c r="A680">
        <v>1017</v>
      </c>
      <c r="B680" s="13">
        <v>44964</v>
      </c>
      <c r="C680" t="s">
        <v>31</v>
      </c>
      <c r="D680" t="s">
        <v>19</v>
      </c>
      <c r="E680">
        <v>7542.3</v>
      </c>
      <c r="F680">
        <v>2</v>
      </c>
      <c r="G680" t="s">
        <v>22</v>
      </c>
      <c r="H680">
        <v>728.41</v>
      </c>
      <c r="I680">
        <v>1094.92</v>
      </c>
      <c r="J680" t="s">
        <v>15</v>
      </c>
      <c r="K680">
        <v>0.24</v>
      </c>
      <c r="L680" t="s">
        <v>16</v>
      </c>
      <c r="M680" t="s">
        <v>17</v>
      </c>
      <c r="N680" t="s">
        <v>88</v>
      </c>
    </row>
    <row r="681" spans="1:14" x14ac:dyDescent="0.3">
      <c r="A681">
        <v>1071</v>
      </c>
      <c r="B681" s="13">
        <v>45254</v>
      </c>
      <c r="C681" t="s">
        <v>26</v>
      </c>
      <c r="D681" t="s">
        <v>19</v>
      </c>
      <c r="E681">
        <v>8049.72</v>
      </c>
      <c r="F681">
        <v>12</v>
      </c>
      <c r="G681" t="s">
        <v>22</v>
      </c>
      <c r="H681">
        <v>4317.95</v>
      </c>
      <c r="I681">
        <v>4636.59</v>
      </c>
      <c r="J681" t="s">
        <v>15</v>
      </c>
      <c r="K681">
        <v>0.18</v>
      </c>
      <c r="L681" t="s">
        <v>21</v>
      </c>
      <c r="M681" t="s">
        <v>17</v>
      </c>
      <c r="N681" t="s">
        <v>76</v>
      </c>
    </row>
    <row r="682" spans="1:14" x14ac:dyDescent="0.3">
      <c r="A682">
        <v>1089</v>
      </c>
      <c r="B682" s="13">
        <v>45177</v>
      </c>
      <c r="C682" t="s">
        <v>23</v>
      </c>
      <c r="D682" t="s">
        <v>19</v>
      </c>
      <c r="E682">
        <v>5228.28</v>
      </c>
      <c r="F682">
        <v>40</v>
      </c>
      <c r="G682" t="s">
        <v>24</v>
      </c>
      <c r="H682">
        <v>4089.66</v>
      </c>
      <c r="I682">
        <v>4275.96</v>
      </c>
      <c r="J682" t="s">
        <v>15</v>
      </c>
      <c r="K682">
        <v>0.23</v>
      </c>
      <c r="L682" t="s">
        <v>21</v>
      </c>
      <c r="M682" t="s">
        <v>29</v>
      </c>
      <c r="N682" t="s">
        <v>81</v>
      </c>
    </row>
    <row r="683" spans="1:14" x14ac:dyDescent="0.3">
      <c r="A683">
        <v>1045</v>
      </c>
      <c r="B683" s="13">
        <v>45102</v>
      </c>
      <c r="C683" t="s">
        <v>12</v>
      </c>
      <c r="D683" t="s">
        <v>27</v>
      </c>
      <c r="E683">
        <v>1489.21</v>
      </c>
      <c r="F683">
        <v>9</v>
      </c>
      <c r="G683" t="s">
        <v>14</v>
      </c>
      <c r="H683">
        <v>4920.34</v>
      </c>
      <c r="I683" s="14" t="s">
        <v>153</v>
      </c>
      <c r="J683" t="s">
        <v>20</v>
      </c>
      <c r="K683">
        <v>0.13</v>
      </c>
      <c r="L683" t="s">
        <v>21</v>
      </c>
      <c r="M683" t="s">
        <v>29</v>
      </c>
      <c r="N683" t="s">
        <v>100</v>
      </c>
    </row>
    <row r="684" spans="1:14" x14ac:dyDescent="0.3">
      <c r="A684">
        <v>1004</v>
      </c>
      <c r="B684" s="13">
        <v>45016</v>
      </c>
      <c r="C684" t="s">
        <v>31</v>
      </c>
      <c r="D684" t="s">
        <v>13</v>
      </c>
      <c r="E684">
        <v>6744.46</v>
      </c>
      <c r="F684">
        <v>12</v>
      </c>
      <c r="G684" t="s">
        <v>14</v>
      </c>
      <c r="H684">
        <v>4553.2299999999996</v>
      </c>
      <c r="I684">
        <v>5038.74</v>
      </c>
      <c r="J684" t="s">
        <v>15</v>
      </c>
      <c r="K684">
        <v>0.09</v>
      </c>
      <c r="L684" t="s">
        <v>21</v>
      </c>
      <c r="M684" t="s">
        <v>17</v>
      </c>
      <c r="N684" t="s">
        <v>67</v>
      </c>
    </row>
    <row r="685" spans="1:14" x14ac:dyDescent="0.3">
      <c r="A685">
        <v>1036</v>
      </c>
      <c r="B685" s="13">
        <v>44963</v>
      </c>
      <c r="C685" t="s">
        <v>31</v>
      </c>
      <c r="D685" t="s">
        <v>13</v>
      </c>
      <c r="E685">
        <v>6242.69</v>
      </c>
      <c r="F685">
        <v>26</v>
      </c>
      <c r="G685" t="s">
        <v>28</v>
      </c>
      <c r="H685">
        <v>4266.3599999999997</v>
      </c>
      <c r="I685" s="14" t="s">
        <v>152</v>
      </c>
      <c r="J685" t="s">
        <v>20</v>
      </c>
      <c r="K685">
        <v>0.14000000000000001</v>
      </c>
      <c r="L685" t="s">
        <v>21</v>
      </c>
      <c r="M685" t="s">
        <v>17</v>
      </c>
      <c r="N685" t="s">
        <v>67</v>
      </c>
    </row>
    <row r="686" spans="1:14" x14ac:dyDescent="0.3">
      <c r="A686">
        <v>1070</v>
      </c>
      <c r="B686" s="13">
        <v>45242</v>
      </c>
      <c r="C686" t="s">
        <v>23</v>
      </c>
      <c r="D686" t="s">
        <v>27</v>
      </c>
      <c r="E686">
        <v>7448.31</v>
      </c>
      <c r="F686">
        <v>9</v>
      </c>
      <c r="G686" t="s">
        <v>28</v>
      </c>
      <c r="H686">
        <v>310.24</v>
      </c>
      <c r="I686">
        <v>451.81</v>
      </c>
      <c r="J686" t="s">
        <v>20</v>
      </c>
      <c r="K686">
        <v>0.1</v>
      </c>
      <c r="L686" t="s">
        <v>16</v>
      </c>
      <c r="M686" t="s">
        <v>17</v>
      </c>
      <c r="N686" t="s">
        <v>96</v>
      </c>
    </row>
    <row r="687" spans="1:14" x14ac:dyDescent="0.3">
      <c r="A687">
        <v>1031</v>
      </c>
      <c r="B687" s="13">
        <v>45102</v>
      </c>
      <c r="C687" t="s">
        <v>26</v>
      </c>
      <c r="D687" t="s">
        <v>19</v>
      </c>
      <c r="E687">
        <v>1781.82</v>
      </c>
      <c r="F687">
        <v>10</v>
      </c>
      <c r="G687" t="s">
        <v>28</v>
      </c>
      <c r="H687">
        <v>566.86</v>
      </c>
      <c r="I687">
        <v>818.14</v>
      </c>
      <c r="J687" t="s">
        <v>20</v>
      </c>
      <c r="K687">
        <v>0.25</v>
      </c>
      <c r="L687" t="s">
        <v>21</v>
      </c>
      <c r="M687" t="s">
        <v>17</v>
      </c>
      <c r="N687" t="s">
        <v>76</v>
      </c>
    </row>
    <row r="688" spans="1:14" x14ac:dyDescent="0.3">
      <c r="A688">
        <v>1019</v>
      </c>
      <c r="B688" s="13">
        <v>45210</v>
      </c>
      <c r="C688" t="s">
        <v>12</v>
      </c>
      <c r="D688" t="s">
        <v>27</v>
      </c>
      <c r="E688">
        <v>2030.25</v>
      </c>
      <c r="F688">
        <v>32</v>
      </c>
      <c r="G688" t="s">
        <v>28</v>
      </c>
      <c r="H688">
        <v>2866.47</v>
      </c>
      <c r="I688">
        <v>3286.47</v>
      </c>
      <c r="J688" t="s">
        <v>15</v>
      </c>
      <c r="K688">
        <v>0.09</v>
      </c>
      <c r="L688" t="s">
        <v>21</v>
      </c>
      <c r="M688" t="s">
        <v>29</v>
      </c>
      <c r="N688" t="s">
        <v>100</v>
      </c>
    </row>
    <row r="689" spans="1:14" x14ac:dyDescent="0.3">
      <c r="A689">
        <v>1061</v>
      </c>
      <c r="B689" s="13">
        <v>45007</v>
      </c>
      <c r="C689" t="s">
        <v>26</v>
      </c>
      <c r="D689" t="s">
        <v>13</v>
      </c>
      <c r="E689">
        <v>8915.0499999999993</v>
      </c>
      <c r="F689">
        <v>34</v>
      </c>
      <c r="G689" t="s">
        <v>14</v>
      </c>
      <c r="H689">
        <v>2680.82</v>
      </c>
      <c r="I689">
        <v>2771.02</v>
      </c>
      <c r="J689" t="s">
        <v>15</v>
      </c>
      <c r="K689">
        <v>0.2</v>
      </c>
      <c r="L689" t="s">
        <v>25</v>
      </c>
      <c r="M689" t="s">
        <v>29</v>
      </c>
      <c r="N689" t="s">
        <v>55</v>
      </c>
    </row>
    <row r="690" spans="1:14" x14ac:dyDescent="0.3">
      <c r="A690">
        <v>1054</v>
      </c>
      <c r="B690" s="13">
        <v>45040</v>
      </c>
      <c r="C690" t="s">
        <v>18</v>
      </c>
      <c r="D690" t="s">
        <v>30</v>
      </c>
      <c r="E690">
        <v>7524.78</v>
      </c>
      <c r="F690">
        <v>48</v>
      </c>
      <c r="G690" t="s">
        <v>22</v>
      </c>
      <c r="H690">
        <v>2316.92</v>
      </c>
      <c r="I690">
        <v>2462.63</v>
      </c>
      <c r="J690" t="s">
        <v>15</v>
      </c>
      <c r="K690">
        <v>0.04</v>
      </c>
      <c r="L690" t="s">
        <v>21</v>
      </c>
      <c r="M690" t="s">
        <v>29</v>
      </c>
      <c r="N690" t="s">
        <v>64</v>
      </c>
    </row>
    <row r="691" spans="1:14" x14ac:dyDescent="0.3">
      <c r="A691">
        <v>1039</v>
      </c>
      <c r="B691" s="13">
        <v>44966</v>
      </c>
      <c r="C691" t="s">
        <v>18</v>
      </c>
      <c r="D691" t="s">
        <v>27</v>
      </c>
      <c r="E691">
        <v>9091.4599999999991</v>
      </c>
      <c r="F691">
        <v>20</v>
      </c>
      <c r="G691" t="s">
        <v>22</v>
      </c>
      <c r="H691">
        <v>2014.11</v>
      </c>
      <c r="I691">
        <v>2056.35</v>
      </c>
      <c r="J691" t="s">
        <v>20</v>
      </c>
      <c r="K691">
        <v>0.21</v>
      </c>
      <c r="L691" t="s">
        <v>25</v>
      </c>
      <c r="M691" t="s">
        <v>17</v>
      </c>
      <c r="N691" t="s">
        <v>58</v>
      </c>
    </row>
    <row r="692" spans="1:14" x14ac:dyDescent="0.3">
      <c r="A692">
        <v>1091</v>
      </c>
      <c r="B692" s="13">
        <v>45227</v>
      </c>
      <c r="C692" t="s">
        <v>23</v>
      </c>
      <c r="D692" t="s">
        <v>19</v>
      </c>
      <c r="E692">
        <v>7611.28</v>
      </c>
      <c r="F692">
        <v>39</v>
      </c>
      <c r="G692" t="s">
        <v>24</v>
      </c>
      <c r="H692">
        <v>2184.4899999999998</v>
      </c>
      <c r="I692" s="14" t="s">
        <v>151</v>
      </c>
      <c r="J692" t="s">
        <v>20</v>
      </c>
      <c r="K692">
        <v>0.27</v>
      </c>
      <c r="L692" t="s">
        <v>25</v>
      </c>
      <c r="M692" t="s">
        <v>29</v>
      </c>
      <c r="N692" t="s">
        <v>81</v>
      </c>
    </row>
    <row r="693" spans="1:14" x14ac:dyDescent="0.3">
      <c r="A693">
        <v>1074</v>
      </c>
      <c r="B693" s="13">
        <v>45150</v>
      </c>
      <c r="C693" t="s">
        <v>23</v>
      </c>
      <c r="D693" t="s">
        <v>13</v>
      </c>
      <c r="E693">
        <v>6011.84</v>
      </c>
      <c r="F693">
        <v>2</v>
      </c>
      <c r="G693" t="s">
        <v>22</v>
      </c>
      <c r="H693">
        <v>2868.02</v>
      </c>
      <c r="I693">
        <v>2994.74</v>
      </c>
      <c r="J693" t="s">
        <v>20</v>
      </c>
      <c r="K693">
        <v>0.18</v>
      </c>
      <c r="L693" t="s">
        <v>25</v>
      </c>
      <c r="M693" t="s">
        <v>29</v>
      </c>
      <c r="N693" t="s">
        <v>69</v>
      </c>
    </row>
    <row r="694" spans="1:14" x14ac:dyDescent="0.3">
      <c r="A694">
        <v>1090</v>
      </c>
      <c r="B694" s="13">
        <v>45244</v>
      </c>
      <c r="C694" t="s">
        <v>23</v>
      </c>
      <c r="D694" t="s">
        <v>13</v>
      </c>
      <c r="E694">
        <v>6575.91</v>
      </c>
      <c r="F694">
        <v>1</v>
      </c>
      <c r="G694" t="s">
        <v>14</v>
      </c>
      <c r="H694">
        <v>60.28</v>
      </c>
      <c r="I694">
        <v>260.73</v>
      </c>
      <c r="J694" t="s">
        <v>20</v>
      </c>
      <c r="K694">
        <v>0.17</v>
      </c>
      <c r="L694" t="s">
        <v>16</v>
      </c>
      <c r="M694" t="s">
        <v>29</v>
      </c>
      <c r="N694" t="s">
        <v>69</v>
      </c>
    </row>
    <row r="695" spans="1:14" x14ac:dyDescent="0.3">
      <c r="A695">
        <v>1019</v>
      </c>
      <c r="B695" s="13">
        <v>45275</v>
      </c>
      <c r="C695" t="s">
        <v>18</v>
      </c>
      <c r="D695" t="s">
        <v>13</v>
      </c>
      <c r="E695">
        <v>8902.3700000000008</v>
      </c>
      <c r="F695">
        <v>36</v>
      </c>
      <c r="G695" t="s">
        <v>14</v>
      </c>
      <c r="H695">
        <v>1340.51</v>
      </c>
      <c r="I695">
        <v>1567.92</v>
      </c>
      <c r="J695" t="s">
        <v>15</v>
      </c>
      <c r="K695">
        <v>0.28999999999999998</v>
      </c>
      <c r="L695" t="s">
        <v>16</v>
      </c>
      <c r="M695" t="s">
        <v>29</v>
      </c>
      <c r="N695" t="s">
        <v>80</v>
      </c>
    </row>
    <row r="696" spans="1:14" x14ac:dyDescent="0.3">
      <c r="A696">
        <v>1039</v>
      </c>
      <c r="B696" s="13">
        <v>45041</v>
      </c>
      <c r="C696" t="s">
        <v>26</v>
      </c>
      <c r="D696" t="s">
        <v>13</v>
      </c>
      <c r="E696">
        <v>5830.19</v>
      </c>
      <c r="F696">
        <v>24</v>
      </c>
      <c r="G696" t="s">
        <v>14</v>
      </c>
      <c r="H696">
        <v>2615.48</v>
      </c>
      <c r="I696" s="14" t="s">
        <v>150</v>
      </c>
      <c r="J696" t="s">
        <v>15</v>
      </c>
      <c r="K696">
        <v>0.19</v>
      </c>
      <c r="L696" t="s">
        <v>25</v>
      </c>
      <c r="M696" t="s">
        <v>17</v>
      </c>
      <c r="N696" t="s">
        <v>55</v>
      </c>
    </row>
    <row r="697" spans="1:14" x14ac:dyDescent="0.3">
      <c r="A697">
        <v>1067</v>
      </c>
      <c r="B697" s="13">
        <v>45112</v>
      </c>
      <c r="C697" t="s">
        <v>26</v>
      </c>
      <c r="D697" t="s">
        <v>19</v>
      </c>
      <c r="E697">
        <v>6360.67</v>
      </c>
      <c r="F697">
        <v>27</v>
      </c>
      <c r="G697" t="s">
        <v>24</v>
      </c>
      <c r="H697">
        <v>3624.97</v>
      </c>
      <c r="I697">
        <v>3836.52</v>
      </c>
      <c r="J697" t="s">
        <v>15</v>
      </c>
      <c r="K697">
        <v>0.08</v>
      </c>
      <c r="L697" t="s">
        <v>16</v>
      </c>
      <c r="M697" t="s">
        <v>29</v>
      </c>
      <c r="N697" t="s">
        <v>76</v>
      </c>
    </row>
    <row r="698" spans="1:14" x14ac:dyDescent="0.3">
      <c r="A698">
        <v>1045</v>
      </c>
      <c r="B698" s="13">
        <v>45249</v>
      </c>
      <c r="C698" t="s">
        <v>23</v>
      </c>
      <c r="D698" t="s">
        <v>30</v>
      </c>
      <c r="E698">
        <v>1649.12</v>
      </c>
      <c r="F698">
        <v>2</v>
      </c>
      <c r="G698" t="s">
        <v>28</v>
      </c>
      <c r="H698">
        <v>912.08</v>
      </c>
      <c r="I698">
        <v>993.24</v>
      </c>
      <c r="J698" t="s">
        <v>20</v>
      </c>
      <c r="K698">
        <v>0.09</v>
      </c>
      <c r="L698" t="s">
        <v>21</v>
      </c>
      <c r="M698" t="s">
        <v>29</v>
      </c>
      <c r="N698" t="s">
        <v>60</v>
      </c>
    </row>
    <row r="699" spans="1:14" x14ac:dyDescent="0.3">
      <c r="A699">
        <v>1013</v>
      </c>
      <c r="B699" s="13">
        <v>44982</v>
      </c>
      <c r="C699" t="s">
        <v>12</v>
      </c>
      <c r="D699" t="s">
        <v>13</v>
      </c>
      <c r="E699">
        <v>4791.82</v>
      </c>
      <c r="F699">
        <v>31</v>
      </c>
      <c r="G699" t="s">
        <v>22</v>
      </c>
      <c r="H699">
        <v>2757.06</v>
      </c>
      <c r="I699">
        <v>3023.97</v>
      </c>
      <c r="J699" t="s">
        <v>20</v>
      </c>
      <c r="K699">
        <v>0.21</v>
      </c>
      <c r="L699" t="s">
        <v>16</v>
      </c>
      <c r="M699" t="s">
        <v>29</v>
      </c>
      <c r="N699" t="s">
        <v>83</v>
      </c>
    </row>
    <row r="700" spans="1:14" x14ac:dyDescent="0.3">
      <c r="A700">
        <v>1092</v>
      </c>
      <c r="B700" s="13">
        <v>44966</v>
      </c>
      <c r="C700" t="s">
        <v>26</v>
      </c>
      <c r="D700" t="s">
        <v>27</v>
      </c>
      <c r="E700">
        <v>7192.33</v>
      </c>
      <c r="F700">
        <v>14</v>
      </c>
      <c r="G700" t="s">
        <v>14</v>
      </c>
      <c r="H700">
        <v>3586.58</v>
      </c>
      <c r="I700">
        <v>4068.43</v>
      </c>
      <c r="J700" t="s">
        <v>15</v>
      </c>
      <c r="K700">
        <v>0.22</v>
      </c>
      <c r="L700" t="s">
        <v>21</v>
      </c>
      <c r="M700" t="s">
        <v>29</v>
      </c>
      <c r="N700" t="s">
        <v>63</v>
      </c>
    </row>
    <row r="701" spans="1:14" x14ac:dyDescent="0.3">
      <c r="A701">
        <v>1058</v>
      </c>
      <c r="B701" s="13">
        <v>45280</v>
      </c>
      <c r="C701" t="s">
        <v>18</v>
      </c>
      <c r="D701" t="s">
        <v>30</v>
      </c>
      <c r="E701">
        <v>2782.33</v>
      </c>
      <c r="F701">
        <v>2</v>
      </c>
      <c r="G701" t="s">
        <v>14</v>
      </c>
      <c r="H701">
        <v>2250.91</v>
      </c>
      <c r="I701">
        <v>2558.6799999999998</v>
      </c>
      <c r="J701" t="s">
        <v>15</v>
      </c>
      <c r="K701">
        <v>0.09</v>
      </c>
      <c r="L701" t="s">
        <v>21</v>
      </c>
      <c r="M701" t="s">
        <v>17</v>
      </c>
      <c r="N701" t="s">
        <v>64</v>
      </c>
    </row>
    <row r="702" spans="1:14" x14ac:dyDescent="0.3">
      <c r="A702">
        <v>1020</v>
      </c>
      <c r="B702" s="13">
        <v>44966</v>
      </c>
      <c r="C702" t="s">
        <v>31</v>
      </c>
      <c r="D702" t="s">
        <v>13</v>
      </c>
      <c r="E702">
        <v>2102.3200000000002</v>
      </c>
      <c r="F702">
        <v>29</v>
      </c>
      <c r="G702" t="s">
        <v>28</v>
      </c>
      <c r="H702">
        <v>184.05</v>
      </c>
      <c r="I702" s="14" t="s">
        <v>149</v>
      </c>
      <c r="J702" t="s">
        <v>20</v>
      </c>
      <c r="K702">
        <v>0.1</v>
      </c>
      <c r="L702" t="s">
        <v>16</v>
      </c>
      <c r="M702" t="s">
        <v>17</v>
      </c>
      <c r="N702" t="s">
        <v>67</v>
      </c>
    </row>
    <row r="703" spans="1:14" x14ac:dyDescent="0.3">
      <c r="A703">
        <v>1092</v>
      </c>
      <c r="B703" s="13">
        <v>45273</v>
      </c>
      <c r="C703" t="s">
        <v>31</v>
      </c>
      <c r="D703" t="s">
        <v>30</v>
      </c>
      <c r="E703">
        <v>3206.89</v>
      </c>
      <c r="F703">
        <v>15</v>
      </c>
      <c r="G703" t="s">
        <v>14</v>
      </c>
      <c r="H703">
        <v>2273.88</v>
      </c>
      <c r="I703">
        <v>2696.02</v>
      </c>
      <c r="J703" t="s">
        <v>15</v>
      </c>
      <c r="K703">
        <v>0.3</v>
      </c>
      <c r="L703" t="s">
        <v>16</v>
      </c>
      <c r="M703" t="s">
        <v>29</v>
      </c>
      <c r="N703" t="s">
        <v>62</v>
      </c>
    </row>
    <row r="704" spans="1:14" x14ac:dyDescent="0.3">
      <c r="A704">
        <v>1072</v>
      </c>
      <c r="B704" s="13">
        <v>45163</v>
      </c>
      <c r="C704" t="s">
        <v>31</v>
      </c>
      <c r="D704" t="s">
        <v>27</v>
      </c>
      <c r="E704">
        <v>2490.86</v>
      </c>
      <c r="F704">
        <v>12</v>
      </c>
      <c r="G704" t="s">
        <v>22</v>
      </c>
      <c r="H704">
        <v>1517.4</v>
      </c>
      <c r="I704">
        <v>1545.02</v>
      </c>
      <c r="J704" t="s">
        <v>15</v>
      </c>
      <c r="K704">
        <v>0.03</v>
      </c>
      <c r="L704" t="s">
        <v>25</v>
      </c>
      <c r="M704" t="s">
        <v>17</v>
      </c>
      <c r="N704" t="s">
        <v>86</v>
      </c>
    </row>
    <row r="705" spans="1:14" x14ac:dyDescent="0.3">
      <c r="A705">
        <v>1061</v>
      </c>
      <c r="B705" s="13">
        <v>45215</v>
      </c>
      <c r="C705" t="s">
        <v>12</v>
      </c>
      <c r="D705" t="s">
        <v>13</v>
      </c>
      <c r="E705">
        <v>2227.64</v>
      </c>
      <c r="F705">
        <v>37</v>
      </c>
      <c r="G705" t="s">
        <v>24</v>
      </c>
      <c r="H705">
        <v>4651.7700000000004</v>
      </c>
      <c r="I705">
        <v>4984.3900000000003</v>
      </c>
      <c r="J705" t="s">
        <v>20</v>
      </c>
      <c r="K705">
        <v>0.12</v>
      </c>
      <c r="L705" t="s">
        <v>16</v>
      </c>
      <c r="M705" t="s">
        <v>17</v>
      </c>
      <c r="N705" t="s">
        <v>83</v>
      </c>
    </row>
    <row r="706" spans="1:14" x14ac:dyDescent="0.3">
      <c r="A706">
        <v>1039</v>
      </c>
      <c r="B706" s="13">
        <v>45188</v>
      </c>
      <c r="C706" t="s">
        <v>23</v>
      </c>
      <c r="D706" t="s">
        <v>27</v>
      </c>
      <c r="E706">
        <v>4306.0200000000004</v>
      </c>
      <c r="F706">
        <v>28</v>
      </c>
      <c r="G706" t="s">
        <v>14</v>
      </c>
      <c r="H706">
        <v>666.84</v>
      </c>
      <c r="I706">
        <v>817.36</v>
      </c>
      <c r="J706" t="s">
        <v>20</v>
      </c>
      <c r="K706">
        <v>0.02</v>
      </c>
      <c r="L706" t="s">
        <v>16</v>
      </c>
      <c r="M706" t="s">
        <v>17</v>
      </c>
      <c r="N706" t="s">
        <v>96</v>
      </c>
    </row>
    <row r="707" spans="1:14" x14ac:dyDescent="0.3">
      <c r="A707">
        <v>1001</v>
      </c>
      <c r="B707" s="13">
        <v>45142</v>
      </c>
      <c r="C707" t="s">
        <v>18</v>
      </c>
      <c r="D707" t="s">
        <v>19</v>
      </c>
      <c r="E707">
        <v>9087.6</v>
      </c>
      <c r="F707">
        <v>20</v>
      </c>
      <c r="G707" t="s">
        <v>22</v>
      </c>
      <c r="H707">
        <v>3279.76</v>
      </c>
      <c r="I707" s="14" t="s">
        <v>148</v>
      </c>
      <c r="J707" t="s">
        <v>20</v>
      </c>
      <c r="K707">
        <v>0.25</v>
      </c>
      <c r="L707" t="s">
        <v>16</v>
      </c>
      <c r="M707" t="s">
        <v>17</v>
      </c>
      <c r="N707" t="s">
        <v>56</v>
      </c>
    </row>
    <row r="708" spans="1:14" x14ac:dyDescent="0.3">
      <c r="A708">
        <v>1003</v>
      </c>
      <c r="B708" s="13">
        <v>45073</v>
      </c>
      <c r="C708" t="s">
        <v>12</v>
      </c>
      <c r="D708" t="s">
        <v>13</v>
      </c>
      <c r="E708">
        <v>5119.8900000000003</v>
      </c>
      <c r="F708">
        <v>39</v>
      </c>
      <c r="G708" t="s">
        <v>14</v>
      </c>
      <c r="H708">
        <v>310.95999999999998</v>
      </c>
      <c r="I708">
        <v>457.84</v>
      </c>
      <c r="J708" t="s">
        <v>15</v>
      </c>
      <c r="K708">
        <v>0.03</v>
      </c>
      <c r="L708" t="s">
        <v>21</v>
      </c>
      <c r="M708" t="s">
        <v>29</v>
      </c>
      <c r="N708" t="s">
        <v>83</v>
      </c>
    </row>
    <row r="709" spans="1:14" x14ac:dyDescent="0.3">
      <c r="A709">
        <v>1077</v>
      </c>
      <c r="B709" s="13">
        <v>45262</v>
      </c>
      <c r="C709" t="s">
        <v>18</v>
      </c>
      <c r="D709" t="s">
        <v>13</v>
      </c>
      <c r="E709">
        <v>1960.41</v>
      </c>
      <c r="F709">
        <v>24</v>
      </c>
      <c r="G709" t="s">
        <v>28</v>
      </c>
      <c r="H709">
        <v>2258.54</v>
      </c>
      <c r="I709">
        <v>2439.4899999999998</v>
      </c>
      <c r="J709" t="s">
        <v>20</v>
      </c>
      <c r="K709">
        <v>0.2</v>
      </c>
      <c r="L709" t="s">
        <v>21</v>
      </c>
      <c r="M709" t="s">
        <v>17</v>
      </c>
      <c r="N709" t="s">
        <v>80</v>
      </c>
    </row>
    <row r="710" spans="1:14" x14ac:dyDescent="0.3">
      <c r="A710">
        <v>1092</v>
      </c>
      <c r="B710" s="13">
        <v>45094</v>
      </c>
      <c r="C710" t="s">
        <v>18</v>
      </c>
      <c r="D710" t="s">
        <v>13</v>
      </c>
      <c r="E710">
        <v>862.02</v>
      </c>
      <c r="F710">
        <v>21</v>
      </c>
      <c r="G710" t="s">
        <v>14</v>
      </c>
      <c r="H710">
        <v>2792.2</v>
      </c>
      <c r="I710" s="14" t="s">
        <v>147</v>
      </c>
      <c r="J710" t="s">
        <v>15</v>
      </c>
      <c r="K710">
        <v>0.02</v>
      </c>
      <c r="L710" t="s">
        <v>21</v>
      </c>
      <c r="M710" t="s">
        <v>17</v>
      </c>
      <c r="N710" t="s">
        <v>80</v>
      </c>
    </row>
    <row r="711" spans="1:14" x14ac:dyDescent="0.3">
      <c r="A711">
        <v>1062</v>
      </c>
      <c r="B711" s="13">
        <v>45018</v>
      </c>
      <c r="C711" t="s">
        <v>23</v>
      </c>
      <c r="D711" t="s">
        <v>13</v>
      </c>
      <c r="E711">
        <v>6991.95</v>
      </c>
      <c r="F711">
        <v>10</v>
      </c>
      <c r="G711" t="s">
        <v>14</v>
      </c>
      <c r="H711">
        <v>1524.88</v>
      </c>
      <c r="I711">
        <v>1636.14</v>
      </c>
      <c r="J711" t="s">
        <v>15</v>
      </c>
      <c r="K711">
        <v>0.2</v>
      </c>
      <c r="L711" t="s">
        <v>25</v>
      </c>
      <c r="M711" t="s">
        <v>29</v>
      </c>
      <c r="N711" t="s">
        <v>69</v>
      </c>
    </row>
    <row r="712" spans="1:14" x14ac:dyDescent="0.3">
      <c r="A712">
        <v>1063</v>
      </c>
      <c r="B712" s="13">
        <v>45279</v>
      </c>
      <c r="C712" t="s">
        <v>31</v>
      </c>
      <c r="D712" t="s">
        <v>19</v>
      </c>
      <c r="E712">
        <v>3889.71</v>
      </c>
      <c r="F712">
        <v>46</v>
      </c>
      <c r="G712" t="s">
        <v>24</v>
      </c>
      <c r="H712">
        <v>2302.62</v>
      </c>
      <c r="I712">
        <v>2740.93</v>
      </c>
      <c r="J712" t="s">
        <v>20</v>
      </c>
      <c r="K712">
        <v>0.25</v>
      </c>
      <c r="L712" t="s">
        <v>25</v>
      </c>
      <c r="M712" t="s">
        <v>29</v>
      </c>
      <c r="N712" t="s">
        <v>88</v>
      </c>
    </row>
    <row r="713" spans="1:14" x14ac:dyDescent="0.3">
      <c r="A713">
        <v>1025</v>
      </c>
      <c r="B713" s="13">
        <v>44985</v>
      </c>
      <c r="C713" t="s">
        <v>23</v>
      </c>
      <c r="D713" t="s">
        <v>13</v>
      </c>
      <c r="E713">
        <v>8236.1299999999992</v>
      </c>
      <c r="F713">
        <v>14</v>
      </c>
      <c r="G713" t="s">
        <v>28</v>
      </c>
      <c r="H713">
        <v>859.59</v>
      </c>
      <c r="I713">
        <v>884.51</v>
      </c>
      <c r="J713" t="s">
        <v>15</v>
      </c>
      <c r="K713">
        <v>0.12</v>
      </c>
      <c r="L713" t="s">
        <v>25</v>
      </c>
      <c r="M713" t="s">
        <v>29</v>
      </c>
      <c r="N713" t="s">
        <v>69</v>
      </c>
    </row>
    <row r="714" spans="1:14" x14ac:dyDescent="0.3">
      <c r="A714">
        <v>1056</v>
      </c>
      <c r="B714" s="13">
        <v>44985</v>
      </c>
      <c r="C714" t="s">
        <v>12</v>
      </c>
      <c r="D714" t="s">
        <v>30</v>
      </c>
      <c r="E714">
        <v>6629.16</v>
      </c>
      <c r="F714">
        <v>37</v>
      </c>
      <c r="G714" t="s">
        <v>28</v>
      </c>
      <c r="H714">
        <v>1555.41</v>
      </c>
      <c r="I714">
        <v>1609.94</v>
      </c>
      <c r="J714" t="s">
        <v>20</v>
      </c>
      <c r="K714">
        <v>0.16</v>
      </c>
      <c r="L714" t="s">
        <v>21</v>
      </c>
      <c r="M714" t="s">
        <v>29</v>
      </c>
      <c r="N714" t="s">
        <v>72</v>
      </c>
    </row>
    <row r="715" spans="1:14" x14ac:dyDescent="0.3">
      <c r="A715">
        <v>1033</v>
      </c>
      <c r="B715" s="13">
        <v>45230</v>
      </c>
      <c r="C715" t="s">
        <v>12</v>
      </c>
      <c r="D715" t="s">
        <v>13</v>
      </c>
      <c r="E715">
        <v>7982.79</v>
      </c>
      <c r="F715">
        <v>18</v>
      </c>
      <c r="G715" t="s">
        <v>24</v>
      </c>
      <c r="H715">
        <v>3124.48</v>
      </c>
      <c r="I715">
        <v>3553.27</v>
      </c>
      <c r="J715" t="s">
        <v>20</v>
      </c>
      <c r="K715">
        <v>0.12</v>
      </c>
      <c r="L715" t="s">
        <v>16</v>
      </c>
      <c r="M715" t="s">
        <v>17</v>
      </c>
      <c r="N715" t="s">
        <v>83</v>
      </c>
    </row>
    <row r="716" spans="1:14" x14ac:dyDescent="0.3">
      <c r="A716">
        <v>1038</v>
      </c>
      <c r="B716" s="13">
        <v>45095</v>
      </c>
      <c r="C716" t="s">
        <v>12</v>
      </c>
      <c r="D716" t="s">
        <v>19</v>
      </c>
      <c r="E716">
        <v>2792.27</v>
      </c>
      <c r="F716">
        <v>24</v>
      </c>
      <c r="G716" t="s">
        <v>14</v>
      </c>
      <c r="H716">
        <v>1543.91</v>
      </c>
      <c r="I716">
        <v>1862.88</v>
      </c>
      <c r="J716" t="s">
        <v>15</v>
      </c>
      <c r="K716">
        <v>0.09</v>
      </c>
      <c r="L716" t="s">
        <v>25</v>
      </c>
      <c r="M716" t="s">
        <v>29</v>
      </c>
      <c r="N716" t="s">
        <v>74</v>
      </c>
    </row>
    <row r="717" spans="1:14" x14ac:dyDescent="0.3">
      <c r="A717">
        <v>1006</v>
      </c>
      <c r="B717" s="13">
        <v>45195</v>
      </c>
      <c r="C717" t="s">
        <v>23</v>
      </c>
      <c r="D717" t="s">
        <v>13</v>
      </c>
      <c r="E717">
        <v>6954.35</v>
      </c>
      <c r="F717">
        <v>14</v>
      </c>
      <c r="G717" t="s">
        <v>22</v>
      </c>
      <c r="H717">
        <v>4503.7299999999996</v>
      </c>
      <c r="I717" s="14" t="s">
        <v>146</v>
      </c>
      <c r="J717" t="s">
        <v>15</v>
      </c>
      <c r="K717">
        <v>0.24</v>
      </c>
      <c r="L717" t="s">
        <v>25</v>
      </c>
      <c r="M717" t="s">
        <v>17</v>
      </c>
      <c r="N717" t="s">
        <v>69</v>
      </c>
    </row>
    <row r="718" spans="1:14" x14ac:dyDescent="0.3">
      <c r="A718">
        <v>1058</v>
      </c>
      <c r="B718" s="13">
        <v>45289</v>
      </c>
      <c r="C718" t="s">
        <v>18</v>
      </c>
      <c r="D718" t="s">
        <v>30</v>
      </c>
      <c r="E718">
        <v>2714.21</v>
      </c>
      <c r="F718">
        <v>34</v>
      </c>
      <c r="G718" t="s">
        <v>28</v>
      </c>
      <c r="H718">
        <v>3160.61</v>
      </c>
      <c r="I718" s="14" t="s">
        <v>145</v>
      </c>
      <c r="J718" t="s">
        <v>20</v>
      </c>
      <c r="K718">
        <v>0.08</v>
      </c>
      <c r="L718" t="s">
        <v>21</v>
      </c>
      <c r="M718" t="s">
        <v>17</v>
      </c>
      <c r="N718" t="s">
        <v>64</v>
      </c>
    </row>
    <row r="719" spans="1:14" x14ac:dyDescent="0.3">
      <c r="A719">
        <v>1044</v>
      </c>
      <c r="B719" s="13">
        <v>44971</v>
      </c>
      <c r="C719" t="s">
        <v>18</v>
      </c>
      <c r="D719" t="s">
        <v>19</v>
      </c>
      <c r="E719">
        <v>9396.7800000000007</v>
      </c>
      <c r="F719">
        <v>12</v>
      </c>
      <c r="G719" t="s">
        <v>28</v>
      </c>
      <c r="H719">
        <v>2221.31</v>
      </c>
      <c r="I719">
        <v>2494.48</v>
      </c>
      <c r="J719" t="s">
        <v>20</v>
      </c>
      <c r="K719">
        <v>0.22</v>
      </c>
      <c r="L719" t="s">
        <v>25</v>
      </c>
      <c r="M719" t="s">
        <v>29</v>
      </c>
      <c r="N719" t="s">
        <v>56</v>
      </c>
    </row>
    <row r="720" spans="1:14" x14ac:dyDescent="0.3">
      <c r="A720">
        <v>1045</v>
      </c>
      <c r="B720" s="13">
        <v>45271</v>
      </c>
      <c r="C720" t="s">
        <v>26</v>
      </c>
      <c r="D720" t="s">
        <v>19</v>
      </c>
      <c r="E720">
        <v>6400.11</v>
      </c>
      <c r="F720">
        <v>22</v>
      </c>
      <c r="G720" t="s">
        <v>14</v>
      </c>
      <c r="H720">
        <v>241.85</v>
      </c>
      <c r="I720">
        <v>613.09</v>
      </c>
      <c r="J720" t="s">
        <v>20</v>
      </c>
      <c r="K720">
        <v>0.06</v>
      </c>
      <c r="L720" t="s">
        <v>16</v>
      </c>
      <c r="M720" t="s">
        <v>29</v>
      </c>
      <c r="N720" t="s">
        <v>76</v>
      </c>
    </row>
    <row r="721" spans="1:14" x14ac:dyDescent="0.3">
      <c r="A721">
        <v>1032</v>
      </c>
      <c r="B721" s="13">
        <v>45107</v>
      </c>
      <c r="C721" t="s">
        <v>12</v>
      </c>
      <c r="D721" t="s">
        <v>30</v>
      </c>
      <c r="E721">
        <v>3312.67</v>
      </c>
      <c r="F721">
        <v>6</v>
      </c>
      <c r="G721" t="s">
        <v>14</v>
      </c>
      <c r="H721">
        <v>2522.7600000000002</v>
      </c>
      <c r="I721" s="14" t="s">
        <v>144</v>
      </c>
      <c r="J721" t="s">
        <v>20</v>
      </c>
      <c r="K721">
        <v>7.0000000000000007E-2</v>
      </c>
      <c r="L721" t="s">
        <v>21</v>
      </c>
      <c r="M721" t="s">
        <v>17</v>
      </c>
      <c r="N721" t="s">
        <v>72</v>
      </c>
    </row>
    <row r="722" spans="1:14" x14ac:dyDescent="0.3">
      <c r="A722">
        <v>1045</v>
      </c>
      <c r="B722" s="13">
        <v>45096</v>
      </c>
      <c r="C722" t="s">
        <v>18</v>
      </c>
      <c r="D722" t="s">
        <v>30</v>
      </c>
      <c r="E722">
        <v>2768.17</v>
      </c>
      <c r="F722">
        <v>36</v>
      </c>
      <c r="G722" t="s">
        <v>28</v>
      </c>
      <c r="H722">
        <v>3835.64</v>
      </c>
      <c r="I722">
        <v>4076.77</v>
      </c>
      <c r="J722" t="s">
        <v>20</v>
      </c>
      <c r="K722">
        <v>0.1</v>
      </c>
      <c r="L722" t="s">
        <v>21</v>
      </c>
      <c r="M722" t="s">
        <v>17</v>
      </c>
      <c r="N722" t="s">
        <v>64</v>
      </c>
    </row>
    <row r="723" spans="1:14" x14ac:dyDescent="0.3">
      <c r="A723">
        <v>1061</v>
      </c>
      <c r="B723" s="13">
        <v>45282</v>
      </c>
      <c r="C723" t="s">
        <v>26</v>
      </c>
      <c r="D723" t="s">
        <v>30</v>
      </c>
      <c r="E723">
        <v>1990.17</v>
      </c>
      <c r="F723">
        <v>45</v>
      </c>
      <c r="G723" t="s">
        <v>14</v>
      </c>
      <c r="H723">
        <v>1364.51</v>
      </c>
      <c r="I723">
        <v>1844.8</v>
      </c>
      <c r="J723" t="s">
        <v>20</v>
      </c>
      <c r="K723">
        <v>0.18</v>
      </c>
      <c r="L723" t="s">
        <v>16</v>
      </c>
      <c r="M723" t="s">
        <v>29</v>
      </c>
      <c r="N723" t="s">
        <v>71</v>
      </c>
    </row>
    <row r="724" spans="1:14" x14ac:dyDescent="0.3">
      <c r="A724">
        <v>1047</v>
      </c>
      <c r="B724" s="13">
        <v>45117</v>
      </c>
      <c r="C724" t="s">
        <v>18</v>
      </c>
      <c r="D724" t="s">
        <v>30</v>
      </c>
      <c r="E724">
        <v>6976.95</v>
      </c>
      <c r="F724">
        <v>36</v>
      </c>
      <c r="G724" t="s">
        <v>22</v>
      </c>
      <c r="H724">
        <v>4043.53</v>
      </c>
      <c r="I724">
        <v>4384.8500000000004</v>
      </c>
      <c r="J724" t="s">
        <v>15</v>
      </c>
      <c r="K724">
        <v>0.14000000000000001</v>
      </c>
      <c r="L724" t="s">
        <v>16</v>
      </c>
      <c r="M724" t="s">
        <v>29</v>
      </c>
      <c r="N724" t="s">
        <v>64</v>
      </c>
    </row>
    <row r="725" spans="1:14" x14ac:dyDescent="0.3">
      <c r="A725">
        <v>1021</v>
      </c>
      <c r="B725" s="13">
        <v>45081</v>
      </c>
      <c r="C725" t="s">
        <v>12</v>
      </c>
      <c r="D725" t="s">
        <v>30</v>
      </c>
      <c r="E725">
        <v>2265.2800000000002</v>
      </c>
      <c r="F725">
        <v>22</v>
      </c>
      <c r="G725" t="s">
        <v>28</v>
      </c>
      <c r="H725">
        <v>1296.44</v>
      </c>
      <c r="I725">
        <v>1751.24</v>
      </c>
      <c r="J725" t="s">
        <v>15</v>
      </c>
      <c r="K725">
        <v>0.22</v>
      </c>
      <c r="L725" t="s">
        <v>16</v>
      </c>
      <c r="M725" t="s">
        <v>29</v>
      </c>
      <c r="N725" t="s">
        <v>72</v>
      </c>
    </row>
    <row r="726" spans="1:14" x14ac:dyDescent="0.3">
      <c r="A726">
        <v>1080</v>
      </c>
      <c r="B726" s="13">
        <v>45114</v>
      </c>
      <c r="C726" t="s">
        <v>31</v>
      </c>
      <c r="D726" t="s">
        <v>19</v>
      </c>
      <c r="E726">
        <v>5993.5</v>
      </c>
      <c r="F726">
        <v>14</v>
      </c>
      <c r="G726" t="s">
        <v>22</v>
      </c>
      <c r="H726">
        <v>4127.54</v>
      </c>
      <c r="I726">
        <v>4495.13</v>
      </c>
      <c r="J726" t="s">
        <v>15</v>
      </c>
      <c r="K726">
        <v>0.06</v>
      </c>
      <c r="L726" t="s">
        <v>25</v>
      </c>
      <c r="M726" t="s">
        <v>17</v>
      </c>
      <c r="N726" t="s">
        <v>88</v>
      </c>
    </row>
    <row r="727" spans="1:14" x14ac:dyDescent="0.3">
      <c r="A727">
        <v>1085</v>
      </c>
      <c r="B727" s="13">
        <v>44933</v>
      </c>
      <c r="C727" t="s">
        <v>12</v>
      </c>
      <c r="D727" t="s">
        <v>19</v>
      </c>
      <c r="E727">
        <v>2719.89</v>
      </c>
      <c r="F727">
        <v>16</v>
      </c>
      <c r="G727" t="s">
        <v>22</v>
      </c>
      <c r="H727">
        <v>472.08</v>
      </c>
      <c r="I727">
        <v>842.46</v>
      </c>
      <c r="J727" t="s">
        <v>15</v>
      </c>
      <c r="K727">
        <v>0</v>
      </c>
      <c r="L727" t="s">
        <v>16</v>
      </c>
      <c r="M727" t="s">
        <v>17</v>
      </c>
      <c r="N727" t="s">
        <v>74</v>
      </c>
    </row>
    <row r="728" spans="1:14" x14ac:dyDescent="0.3">
      <c r="A728">
        <v>1075</v>
      </c>
      <c r="B728" s="13">
        <v>45059</v>
      </c>
      <c r="C728" t="s">
        <v>23</v>
      </c>
      <c r="D728" t="s">
        <v>13</v>
      </c>
      <c r="E728">
        <v>6653.49</v>
      </c>
      <c r="F728">
        <v>36</v>
      </c>
      <c r="G728" t="s">
        <v>14</v>
      </c>
      <c r="H728">
        <v>4337.6099999999997</v>
      </c>
      <c r="I728">
        <v>4386.82</v>
      </c>
      <c r="J728" t="s">
        <v>20</v>
      </c>
      <c r="K728">
        <v>0.23</v>
      </c>
      <c r="L728" t="s">
        <v>21</v>
      </c>
      <c r="M728" t="s">
        <v>29</v>
      </c>
      <c r="N728" t="s">
        <v>69</v>
      </c>
    </row>
    <row r="729" spans="1:14" x14ac:dyDescent="0.3">
      <c r="A729">
        <v>1036</v>
      </c>
      <c r="B729" s="13">
        <v>45161</v>
      </c>
      <c r="C729" t="s">
        <v>18</v>
      </c>
      <c r="D729" t="s">
        <v>13</v>
      </c>
      <c r="E729">
        <v>8167.9</v>
      </c>
      <c r="F729">
        <v>25</v>
      </c>
      <c r="G729" t="s">
        <v>22</v>
      </c>
      <c r="H729">
        <v>2520.9699999999998</v>
      </c>
      <c r="I729" s="14" t="s">
        <v>143</v>
      </c>
      <c r="J729" t="s">
        <v>15</v>
      </c>
      <c r="K729">
        <v>0.25</v>
      </c>
      <c r="L729" t="s">
        <v>16</v>
      </c>
      <c r="M729" t="s">
        <v>17</v>
      </c>
      <c r="N729" t="s">
        <v>80</v>
      </c>
    </row>
    <row r="730" spans="1:14" x14ac:dyDescent="0.3">
      <c r="A730">
        <v>1099</v>
      </c>
      <c r="B730" s="13">
        <v>44971</v>
      </c>
      <c r="C730" t="s">
        <v>18</v>
      </c>
      <c r="D730" t="s">
        <v>27</v>
      </c>
      <c r="E730">
        <v>7802.45</v>
      </c>
      <c r="F730">
        <v>32</v>
      </c>
      <c r="G730" t="s">
        <v>14</v>
      </c>
      <c r="H730">
        <v>1517.86</v>
      </c>
      <c r="I730">
        <v>1948.46</v>
      </c>
      <c r="J730" t="s">
        <v>15</v>
      </c>
      <c r="K730">
        <v>0.02</v>
      </c>
      <c r="L730" t="s">
        <v>21</v>
      </c>
      <c r="M730" t="s">
        <v>29</v>
      </c>
      <c r="N730" t="s">
        <v>58</v>
      </c>
    </row>
    <row r="731" spans="1:14" x14ac:dyDescent="0.3">
      <c r="A731">
        <v>1019</v>
      </c>
      <c r="B731" s="13">
        <v>45240</v>
      </c>
      <c r="C731" t="s">
        <v>23</v>
      </c>
      <c r="D731" t="s">
        <v>13</v>
      </c>
      <c r="E731">
        <v>7632.43</v>
      </c>
      <c r="F731">
        <v>33</v>
      </c>
      <c r="G731" t="s">
        <v>24</v>
      </c>
      <c r="H731">
        <v>1362.31</v>
      </c>
      <c r="I731">
        <v>1486.29</v>
      </c>
      <c r="J731" t="s">
        <v>20</v>
      </c>
      <c r="K731">
        <v>0.18</v>
      </c>
      <c r="L731" t="s">
        <v>21</v>
      </c>
      <c r="M731" t="s">
        <v>17</v>
      </c>
      <c r="N731" t="s">
        <v>69</v>
      </c>
    </row>
    <row r="732" spans="1:14" x14ac:dyDescent="0.3">
      <c r="A732">
        <v>1020</v>
      </c>
      <c r="B732" s="13">
        <v>45175</v>
      </c>
      <c r="C732" t="s">
        <v>23</v>
      </c>
      <c r="D732" t="s">
        <v>13</v>
      </c>
      <c r="E732">
        <v>1958.45</v>
      </c>
      <c r="F732">
        <v>45</v>
      </c>
      <c r="G732" t="s">
        <v>14</v>
      </c>
      <c r="H732">
        <v>2188.4499999999998</v>
      </c>
      <c r="I732" s="14" t="s">
        <v>142</v>
      </c>
      <c r="J732" t="s">
        <v>15</v>
      </c>
      <c r="K732">
        <v>0.11</v>
      </c>
      <c r="L732" t="s">
        <v>25</v>
      </c>
      <c r="M732" t="s">
        <v>17</v>
      </c>
      <c r="N732" t="s">
        <v>69</v>
      </c>
    </row>
    <row r="733" spans="1:14" x14ac:dyDescent="0.3">
      <c r="A733">
        <v>1057</v>
      </c>
      <c r="B733" s="13">
        <v>44957</v>
      </c>
      <c r="C733" t="s">
        <v>31</v>
      </c>
      <c r="D733" t="s">
        <v>30</v>
      </c>
      <c r="E733">
        <v>975.01</v>
      </c>
      <c r="F733">
        <v>36</v>
      </c>
      <c r="G733" t="s">
        <v>22</v>
      </c>
      <c r="H733">
        <v>4995.3</v>
      </c>
      <c r="I733">
        <v>5165.09</v>
      </c>
      <c r="J733" t="s">
        <v>20</v>
      </c>
      <c r="K733">
        <v>0.24</v>
      </c>
      <c r="L733" t="s">
        <v>16</v>
      </c>
      <c r="M733" t="s">
        <v>29</v>
      </c>
      <c r="N733" t="s">
        <v>62</v>
      </c>
    </row>
    <row r="734" spans="1:14" x14ac:dyDescent="0.3">
      <c r="A734">
        <v>1018</v>
      </c>
      <c r="B734" s="13">
        <v>44949</v>
      </c>
      <c r="C734" t="s">
        <v>18</v>
      </c>
      <c r="D734" t="s">
        <v>30</v>
      </c>
      <c r="E734">
        <v>7019.59</v>
      </c>
      <c r="F734">
        <v>20</v>
      </c>
      <c r="G734" t="s">
        <v>24</v>
      </c>
      <c r="H734">
        <v>1140.6199999999999</v>
      </c>
      <c r="I734" s="14" t="s">
        <v>141</v>
      </c>
      <c r="J734" t="s">
        <v>20</v>
      </c>
      <c r="K734">
        <v>0.26</v>
      </c>
      <c r="L734" t="s">
        <v>25</v>
      </c>
      <c r="M734" t="s">
        <v>29</v>
      </c>
      <c r="N734" t="s">
        <v>64</v>
      </c>
    </row>
    <row r="735" spans="1:14" x14ac:dyDescent="0.3">
      <c r="A735">
        <v>1047</v>
      </c>
      <c r="B735" s="13">
        <v>45086</v>
      </c>
      <c r="C735" t="s">
        <v>18</v>
      </c>
      <c r="D735" t="s">
        <v>13</v>
      </c>
      <c r="E735">
        <v>3746.64</v>
      </c>
      <c r="F735">
        <v>18</v>
      </c>
      <c r="G735" t="s">
        <v>14</v>
      </c>
      <c r="H735">
        <v>560.91999999999996</v>
      </c>
      <c r="I735">
        <v>1024.31</v>
      </c>
      <c r="J735" t="s">
        <v>20</v>
      </c>
      <c r="K735">
        <v>0.26</v>
      </c>
      <c r="L735" t="s">
        <v>16</v>
      </c>
      <c r="M735" t="s">
        <v>29</v>
      </c>
      <c r="N735" t="s">
        <v>80</v>
      </c>
    </row>
    <row r="736" spans="1:14" x14ac:dyDescent="0.3">
      <c r="A736">
        <v>1049</v>
      </c>
      <c r="B736" s="13">
        <v>45289</v>
      </c>
      <c r="C736" t="s">
        <v>31</v>
      </c>
      <c r="D736" t="s">
        <v>27</v>
      </c>
      <c r="E736">
        <v>4380.2299999999996</v>
      </c>
      <c r="F736">
        <v>38</v>
      </c>
      <c r="G736" t="s">
        <v>22</v>
      </c>
      <c r="H736">
        <v>2945.92</v>
      </c>
      <c r="I736" s="14" t="s">
        <v>140</v>
      </c>
      <c r="J736" t="s">
        <v>20</v>
      </c>
      <c r="K736">
        <v>0.23</v>
      </c>
      <c r="L736" t="s">
        <v>16</v>
      </c>
      <c r="M736" t="s">
        <v>17</v>
      </c>
      <c r="N736" t="s">
        <v>86</v>
      </c>
    </row>
    <row r="737" spans="1:14" x14ac:dyDescent="0.3">
      <c r="A737">
        <v>1014</v>
      </c>
      <c r="B737" s="13">
        <v>45084</v>
      </c>
      <c r="C737" t="s">
        <v>26</v>
      </c>
      <c r="D737" t="s">
        <v>30</v>
      </c>
      <c r="E737">
        <v>408.38</v>
      </c>
      <c r="F737">
        <v>3</v>
      </c>
      <c r="G737" t="s">
        <v>28</v>
      </c>
      <c r="H737">
        <v>2468.29</v>
      </c>
      <c r="I737">
        <v>2723.13</v>
      </c>
      <c r="J737" t="s">
        <v>20</v>
      </c>
      <c r="K737">
        <v>0.08</v>
      </c>
      <c r="L737" t="s">
        <v>16</v>
      </c>
      <c r="M737" t="s">
        <v>17</v>
      </c>
      <c r="N737" t="s">
        <v>71</v>
      </c>
    </row>
    <row r="738" spans="1:14" x14ac:dyDescent="0.3">
      <c r="A738">
        <v>1015</v>
      </c>
      <c r="B738" s="13">
        <v>44965</v>
      </c>
      <c r="C738" t="s">
        <v>31</v>
      </c>
      <c r="D738" t="s">
        <v>13</v>
      </c>
      <c r="E738">
        <v>2669.81</v>
      </c>
      <c r="F738">
        <v>23</v>
      </c>
      <c r="G738" t="s">
        <v>28</v>
      </c>
      <c r="H738">
        <v>2644.77</v>
      </c>
      <c r="I738">
        <v>2684.83</v>
      </c>
      <c r="J738" t="s">
        <v>15</v>
      </c>
      <c r="K738">
        <v>0.24</v>
      </c>
      <c r="L738" t="s">
        <v>16</v>
      </c>
      <c r="M738" t="s">
        <v>29</v>
      </c>
      <c r="N738" t="s">
        <v>67</v>
      </c>
    </row>
    <row r="739" spans="1:14" x14ac:dyDescent="0.3">
      <c r="A739">
        <v>1031</v>
      </c>
      <c r="B739" s="13">
        <v>45008</v>
      </c>
      <c r="C739" t="s">
        <v>12</v>
      </c>
      <c r="D739" t="s">
        <v>13</v>
      </c>
      <c r="E739">
        <v>433.4</v>
      </c>
      <c r="F739">
        <v>32</v>
      </c>
      <c r="G739" t="s">
        <v>14</v>
      </c>
      <c r="H739">
        <v>3351.33</v>
      </c>
      <c r="I739">
        <v>3711.47</v>
      </c>
      <c r="J739" t="s">
        <v>15</v>
      </c>
      <c r="K739">
        <v>0.16</v>
      </c>
      <c r="L739" t="s">
        <v>16</v>
      </c>
      <c r="M739" t="s">
        <v>17</v>
      </c>
      <c r="N739" t="s">
        <v>83</v>
      </c>
    </row>
    <row r="740" spans="1:14" x14ac:dyDescent="0.3">
      <c r="A740">
        <v>1001</v>
      </c>
      <c r="B740" s="13">
        <v>45282</v>
      </c>
      <c r="C740" t="s">
        <v>18</v>
      </c>
      <c r="D740" t="s">
        <v>19</v>
      </c>
      <c r="E740">
        <v>8803.94</v>
      </c>
      <c r="F740">
        <v>45</v>
      </c>
      <c r="G740" t="s">
        <v>14</v>
      </c>
      <c r="H740">
        <v>1372.36</v>
      </c>
      <c r="I740">
        <v>1687.83</v>
      </c>
      <c r="J740" t="s">
        <v>15</v>
      </c>
      <c r="K740">
        <v>0.02</v>
      </c>
      <c r="L740" t="s">
        <v>21</v>
      </c>
      <c r="M740" t="s">
        <v>29</v>
      </c>
      <c r="N740" t="s">
        <v>56</v>
      </c>
    </row>
    <row r="741" spans="1:14" x14ac:dyDescent="0.3">
      <c r="A741">
        <v>1054</v>
      </c>
      <c r="B741" s="13">
        <v>45184</v>
      </c>
      <c r="C741" t="s">
        <v>23</v>
      </c>
      <c r="D741" t="s">
        <v>27</v>
      </c>
      <c r="E741">
        <v>2509.63</v>
      </c>
      <c r="F741">
        <v>16</v>
      </c>
      <c r="G741" t="s">
        <v>28</v>
      </c>
      <c r="H741">
        <v>4557.79</v>
      </c>
      <c r="I741">
        <v>5043.3599999999997</v>
      </c>
      <c r="J741" t="s">
        <v>20</v>
      </c>
      <c r="K741">
        <v>0.14000000000000001</v>
      </c>
      <c r="L741" t="s">
        <v>21</v>
      </c>
      <c r="M741" t="s">
        <v>17</v>
      </c>
      <c r="N741" t="s">
        <v>96</v>
      </c>
    </row>
    <row r="742" spans="1:14" x14ac:dyDescent="0.3">
      <c r="A742">
        <v>1003</v>
      </c>
      <c r="B742" s="13">
        <v>45132</v>
      </c>
      <c r="C742" t="s">
        <v>12</v>
      </c>
      <c r="D742" t="s">
        <v>19</v>
      </c>
      <c r="E742">
        <v>5617.64</v>
      </c>
      <c r="F742">
        <v>5</v>
      </c>
      <c r="G742" t="s">
        <v>22</v>
      </c>
      <c r="H742">
        <v>2206.58</v>
      </c>
      <c r="I742">
        <v>2490.4699999999998</v>
      </c>
      <c r="J742" t="s">
        <v>15</v>
      </c>
      <c r="K742">
        <v>0.28000000000000003</v>
      </c>
      <c r="L742" t="s">
        <v>16</v>
      </c>
      <c r="M742" t="s">
        <v>29</v>
      </c>
      <c r="N742" t="s">
        <v>74</v>
      </c>
    </row>
    <row r="743" spans="1:14" x14ac:dyDescent="0.3">
      <c r="A743">
        <v>1016</v>
      </c>
      <c r="B743" s="13">
        <v>45003</v>
      </c>
      <c r="C743" t="s">
        <v>18</v>
      </c>
      <c r="D743" t="s">
        <v>27</v>
      </c>
      <c r="E743">
        <v>485.9</v>
      </c>
      <c r="F743">
        <v>4</v>
      </c>
      <c r="G743" t="s">
        <v>22</v>
      </c>
      <c r="H743">
        <v>688.98</v>
      </c>
      <c r="I743" s="14" t="s">
        <v>139</v>
      </c>
      <c r="J743" t="s">
        <v>15</v>
      </c>
      <c r="K743">
        <v>0.27</v>
      </c>
      <c r="L743" t="s">
        <v>21</v>
      </c>
      <c r="M743" t="s">
        <v>17</v>
      </c>
      <c r="N743" t="s">
        <v>58</v>
      </c>
    </row>
    <row r="744" spans="1:14" x14ac:dyDescent="0.3">
      <c r="A744">
        <v>1087</v>
      </c>
      <c r="B744" s="13">
        <v>44938</v>
      </c>
      <c r="C744" t="s">
        <v>31</v>
      </c>
      <c r="D744" t="s">
        <v>30</v>
      </c>
      <c r="E744">
        <v>6701.79</v>
      </c>
      <c r="F744">
        <v>21</v>
      </c>
      <c r="G744" t="s">
        <v>22</v>
      </c>
      <c r="H744">
        <v>3724.38</v>
      </c>
      <c r="I744" s="14" t="s">
        <v>138</v>
      </c>
      <c r="J744" t="s">
        <v>15</v>
      </c>
      <c r="K744">
        <v>0.03</v>
      </c>
      <c r="L744" t="s">
        <v>25</v>
      </c>
      <c r="M744" t="s">
        <v>17</v>
      </c>
      <c r="N744" t="s">
        <v>62</v>
      </c>
    </row>
    <row r="745" spans="1:14" x14ac:dyDescent="0.3">
      <c r="A745">
        <v>1057</v>
      </c>
      <c r="B745" s="13">
        <v>45221</v>
      </c>
      <c r="C745" t="s">
        <v>12</v>
      </c>
      <c r="D745" t="s">
        <v>27</v>
      </c>
      <c r="E745">
        <v>3297.97</v>
      </c>
      <c r="F745">
        <v>40</v>
      </c>
      <c r="G745" t="s">
        <v>14</v>
      </c>
      <c r="H745">
        <v>3233.37</v>
      </c>
      <c r="I745">
        <v>3723.21</v>
      </c>
      <c r="J745" t="s">
        <v>15</v>
      </c>
      <c r="K745">
        <v>0.22</v>
      </c>
      <c r="L745" t="s">
        <v>25</v>
      </c>
      <c r="M745" t="s">
        <v>17</v>
      </c>
      <c r="N745" t="s">
        <v>100</v>
      </c>
    </row>
    <row r="746" spans="1:14" x14ac:dyDescent="0.3">
      <c r="A746">
        <v>1075</v>
      </c>
      <c r="B746" s="13">
        <v>45150</v>
      </c>
      <c r="C746" t="s">
        <v>18</v>
      </c>
      <c r="D746" t="s">
        <v>13</v>
      </c>
      <c r="E746">
        <v>8989.4</v>
      </c>
      <c r="F746">
        <v>14</v>
      </c>
      <c r="G746" t="s">
        <v>24</v>
      </c>
      <c r="H746">
        <v>1612.93</v>
      </c>
      <c r="I746">
        <v>1964.15</v>
      </c>
      <c r="J746" t="s">
        <v>20</v>
      </c>
      <c r="K746">
        <v>0.24</v>
      </c>
      <c r="L746" t="s">
        <v>25</v>
      </c>
      <c r="M746" t="s">
        <v>17</v>
      </c>
      <c r="N746" t="s">
        <v>80</v>
      </c>
    </row>
    <row r="747" spans="1:14" x14ac:dyDescent="0.3">
      <c r="A747">
        <v>1012</v>
      </c>
      <c r="B747" s="13">
        <v>44939</v>
      </c>
      <c r="C747" t="s">
        <v>26</v>
      </c>
      <c r="D747" t="s">
        <v>13</v>
      </c>
      <c r="E747">
        <v>8892.3700000000008</v>
      </c>
      <c r="F747">
        <v>39</v>
      </c>
      <c r="G747" t="s">
        <v>24</v>
      </c>
      <c r="H747">
        <v>3126.52</v>
      </c>
      <c r="I747">
        <v>3465.79</v>
      </c>
      <c r="J747" t="s">
        <v>15</v>
      </c>
      <c r="K747">
        <v>0.08</v>
      </c>
      <c r="L747" t="s">
        <v>16</v>
      </c>
      <c r="M747" t="s">
        <v>29</v>
      </c>
      <c r="N747" t="s">
        <v>55</v>
      </c>
    </row>
    <row r="748" spans="1:14" x14ac:dyDescent="0.3">
      <c r="A748">
        <v>1074</v>
      </c>
      <c r="B748" s="13">
        <v>44972</v>
      </c>
      <c r="C748" t="s">
        <v>26</v>
      </c>
      <c r="D748" t="s">
        <v>27</v>
      </c>
      <c r="E748">
        <v>3320.38</v>
      </c>
      <c r="F748">
        <v>31</v>
      </c>
      <c r="G748" t="s">
        <v>24</v>
      </c>
      <c r="H748">
        <v>1138.32</v>
      </c>
      <c r="I748">
        <v>1266.25</v>
      </c>
      <c r="J748" t="s">
        <v>20</v>
      </c>
      <c r="K748">
        <v>0.14000000000000001</v>
      </c>
      <c r="L748" t="s">
        <v>16</v>
      </c>
      <c r="M748" t="s">
        <v>17</v>
      </c>
      <c r="N748" t="s">
        <v>63</v>
      </c>
    </row>
    <row r="749" spans="1:14" x14ac:dyDescent="0.3">
      <c r="A749">
        <v>1096</v>
      </c>
      <c r="B749" s="13">
        <v>45081</v>
      </c>
      <c r="C749" t="s">
        <v>23</v>
      </c>
      <c r="D749" t="s">
        <v>27</v>
      </c>
      <c r="E749">
        <v>9019.51</v>
      </c>
      <c r="F749">
        <v>14</v>
      </c>
      <c r="G749" t="s">
        <v>24</v>
      </c>
      <c r="H749">
        <v>2251.9499999999998</v>
      </c>
      <c r="I749" s="14" t="s">
        <v>137</v>
      </c>
      <c r="J749" t="s">
        <v>20</v>
      </c>
      <c r="K749">
        <v>0.21</v>
      </c>
      <c r="L749" t="s">
        <v>21</v>
      </c>
      <c r="M749" t="s">
        <v>29</v>
      </c>
      <c r="N749" t="s">
        <v>96</v>
      </c>
    </row>
    <row r="750" spans="1:14" x14ac:dyDescent="0.3">
      <c r="A750">
        <v>1016</v>
      </c>
      <c r="B750" s="13">
        <v>45039</v>
      </c>
      <c r="C750" t="s">
        <v>18</v>
      </c>
      <c r="D750" t="s">
        <v>27</v>
      </c>
      <c r="E750">
        <v>9961.9599999999991</v>
      </c>
      <c r="F750">
        <v>6</v>
      </c>
      <c r="G750" t="s">
        <v>24</v>
      </c>
      <c r="H750">
        <v>4502.09</v>
      </c>
      <c r="I750">
        <v>4879.72</v>
      </c>
      <c r="J750" t="s">
        <v>15</v>
      </c>
      <c r="K750">
        <v>0.13</v>
      </c>
      <c r="L750" t="s">
        <v>21</v>
      </c>
      <c r="M750" t="s">
        <v>29</v>
      </c>
      <c r="N750" t="s">
        <v>58</v>
      </c>
    </row>
    <row r="751" spans="1:14" x14ac:dyDescent="0.3">
      <c r="A751">
        <v>1072</v>
      </c>
      <c r="B751" s="13">
        <v>45159</v>
      </c>
      <c r="C751" t="s">
        <v>26</v>
      </c>
      <c r="D751" t="s">
        <v>19</v>
      </c>
      <c r="E751">
        <v>8271.6200000000008</v>
      </c>
      <c r="F751">
        <v>12</v>
      </c>
      <c r="G751" t="s">
        <v>14</v>
      </c>
      <c r="H751">
        <v>710.99</v>
      </c>
      <c r="I751">
        <v>876.46</v>
      </c>
      <c r="J751" t="s">
        <v>20</v>
      </c>
      <c r="K751">
        <v>0.03</v>
      </c>
      <c r="L751" t="s">
        <v>21</v>
      </c>
      <c r="M751" t="s">
        <v>29</v>
      </c>
      <c r="N751" t="s">
        <v>76</v>
      </c>
    </row>
    <row r="752" spans="1:14" x14ac:dyDescent="0.3">
      <c r="A752">
        <v>1076</v>
      </c>
      <c r="B752" s="13">
        <v>44943</v>
      </c>
      <c r="C752" t="s">
        <v>31</v>
      </c>
      <c r="D752" t="s">
        <v>27</v>
      </c>
      <c r="E752">
        <v>8464.23</v>
      </c>
      <c r="F752">
        <v>16</v>
      </c>
      <c r="G752" t="s">
        <v>14</v>
      </c>
      <c r="H752">
        <v>1964.15</v>
      </c>
      <c r="I752">
        <v>2211.17</v>
      </c>
      <c r="J752" t="s">
        <v>20</v>
      </c>
      <c r="K752">
        <v>0.21</v>
      </c>
      <c r="L752" t="s">
        <v>25</v>
      </c>
      <c r="M752" t="s">
        <v>29</v>
      </c>
      <c r="N752" t="s">
        <v>86</v>
      </c>
    </row>
    <row r="753" spans="1:14" x14ac:dyDescent="0.3">
      <c r="A753">
        <v>1024</v>
      </c>
      <c r="B753" s="13">
        <v>45286</v>
      </c>
      <c r="C753" t="s">
        <v>18</v>
      </c>
      <c r="D753" t="s">
        <v>30</v>
      </c>
      <c r="E753">
        <v>2565.19</v>
      </c>
      <c r="F753">
        <v>17</v>
      </c>
      <c r="G753" t="s">
        <v>24</v>
      </c>
      <c r="H753">
        <v>4114.66</v>
      </c>
      <c r="I753" s="14" t="s">
        <v>136</v>
      </c>
      <c r="J753" t="s">
        <v>20</v>
      </c>
      <c r="K753">
        <v>0.27</v>
      </c>
      <c r="L753" t="s">
        <v>25</v>
      </c>
      <c r="M753" t="s">
        <v>17</v>
      </c>
      <c r="N753" t="s">
        <v>64</v>
      </c>
    </row>
    <row r="754" spans="1:14" x14ac:dyDescent="0.3">
      <c r="A754">
        <v>1028</v>
      </c>
      <c r="B754" s="13">
        <v>45149</v>
      </c>
      <c r="C754" t="s">
        <v>31</v>
      </c>
      <c r="D754" t="s">
        <v>19</v>
      </c>
      <c r="E754">
        <v>5809.35</v>
      </c>
      <c r="F754">
        <v>45</v>
      </c>
      <c r="G754" t="s">
        <v>14</v>
      </c>
      <c r="H754">
        <v>4848.9799999999996</v>
      </c>
      <c r="I754">
        <v>4985.75</v>
      </c>
      <c r="J754" t="s">
        <v>20</v>
      </c>
      <c r="K754">
        <v>0.2</v>
      </c>
      <c r="L754" t="s">
        <v>25</v>
      </c>
      <c r="M754" t="s">
        <v>29</v>
      </c>
      <c r="N754" t="s">
        <v>88</v>
      </c>
    </row>
    <row r="755" spans="1:14" x14ac:dyDescent="0.3">
      <c r="A755">
        <v>1008</v>
      </c>
      <c r="B755" s="13">
        <v>45280</v>
      </c>
      <c r="C755" t="s">
        <v>31</v>
      </c>
      <c r="D755" t="s">
        <v>19</v>
      </c>
      <c r="E755">
        <v>765.83</v>
      </c>
      <c r="F755">
        <v>23</v>
      </c>
      <c r="G755" t="s">
        <v>14</v>
      </c>
      <c r="H755">
        <v>2296.9299999999998</v>
      </c>
      <c r="I755">
        <v>2319.62</v>
      </c>
      <c r="J755" t="s">
        <v>20</v>
      </c>
      <c r="K755">
        <v>0.23</v>
      </c>
      <c r="L755" t="s">
        <v>25</v>
      </c>
      <c r="M755" t="s">
        <v>17</v>
      </c>
      <c r="N755" t="s">
        <v>88</v>
      </c>
    </row>
    <row r="756" spans="1:14" x14ac:dyDescent="0.3">
      <c r="A756">
        <v>1092</v>
      </c>
      <c r="B756" s="13">
        <v>45114</v>
      </c>
      <c r="C756" t="s">
        <v>26</v>
      </c>
      <c r="D756" t="s">
        <v>27</v>
      </c>
      <c r="E756">
        <v>1039.69</v>
      </c>
      <c r="F756">
        <v>14</v>
      </c>
      <c r="G756" t="s">
        <v>24</v>
      </c>
      <c r="H756">
        <v>2559.65</v>
      </c>
      <c r="I756">
        <v>2709.4</v>
      </c>
      <c r="J756" t="s">
        <v>20</v>
      </c>
      <c r="K756">
        <v>0.11</v>
      </c>
      <c r="L756" t="s">
        <v>21</v>
      </c>
      <c r="M756" t="s">
        <v>17</v>
      </c>
      <c r="N756" t="s">
        <v>63</v>
      </c>
    </row>
    <row r="757" spans="1:14" x14ac:dyDescent="0.3">
      <c r="A757">
        <v>1036</v>
      </c>
      <c r="B757" s="13">
        <v>45270</v>
      </c>
      <c r="C757" t="s">
        <v>18</v>
      </c>
      <c r="D757" t="s">
        <v>30</v>
      </c>
      <c r="E757">
        <v>9989.0400000000009</v>
      </c>
      <c r="F757">
        <v>7</v>
      </c>
      <c r="G757" t="s">
        <v>22</v>
      </c>
      <c r="H757">
        <v>2882.25</v>
      </c>
      <c r="I757">
        <v>3163.7</v>
      </c>
      <c r="J757" t="s">
        <v>20</v>
      </c>
      <c r="K757">
        <v>0.05</v>
      </c>
      <c r="L757" t="s">
        <v>16</v>
      </c>
      <c r="M757" t="s">
        <v>17</v>
      </c>
      <c r="N757" t="s">
        <v>64</v>
      </c>
    </row>
    <row r="758" spans="1:14" x14ac:dyDescent="0.3">
      <c r="A758">
        <v>1090</v>
      </c>
      <c r="B758" s="13">
        <v>45291</v>
      </c>
      <c r="C758" t="s">
        <v>12</v>
      </c>
      <c r="D758" t="s">
        <v>19</v>
      </c>
      <c r="E758">
        <v>3333.73</v>
      </c>
      <c r="F758">
        <v>46</v>
      </c>
      <c r="G758" t="s">
        <v>14</v>
      </c>
      <c r="H758">
        <v>4665.12</v>
      </c>
      <c r="I758">
        <v>4675.8999999999996</v>
      </c>
      <c r="J758" t="s">
        <v>15</v>
      </c>
      <c r="K758">
        <v>0.19</v>
      </c>
      <c r="L758" t="s">
        <v>16</v>
      </c>
      <c r="M758" t="s">
        <v>17</v>
      </c>
      <c r="N758" t="s">
        <v>74</v>
      </c>
    </row>
    <row r="759" spans="1:14" x14ac:dyDescent="0.3">
      <c r="A759">
        <v>1008</v>
      </c>
      <c r="B759" s="13">
        <v>45089</v>
      </c>
      <c r="C759" t="s">
        <v>26</v>
      </c>
      <c r="D759" t="s">
        <v>13</v>
      </c>
      <c r="E759">
        <v>7507.02</v>
      </c>
      <c r="F759">
        <v>32</v>
      </c>
      <c r="G759" t="s">
        <v>22</v>
      </c>
      <c r="H759">
        <v>4298.12</v>
      </c>
      <c r="I759">
        <v>4446.8999999999996</v>
      </c>
      <c r="J759" t="s">
        <v>15</v>
      </c>
      <c r="K759">
        <v>0.1</v>
      </c>
      <c r="L759" t="s">
        <v>25</v>
      </c>
      <c r="M759" t="s">
        <v>29</v>
      </c>
      <c r="N759" t="s">
        <v>55</v>
      </c>
    </row>
    <row r="760" spans="1:14" x14ac:dyDescent="0.3">
      <c r="A760">
        <v>1058</v>
      </c>
      <c r="B760" s="13">
        <v>45252</v>
      </c>
      <c r="C760" t="s">
        <v>26</v>
      </c>
      <c r="D760" t="s">
        <v>19</v>
      </c>
      <c r="E760">
        <v>8085.98</v>
      </c>
      <c r="F760">
        <v>15</v>
      </c>
      <c r="G760" t="s">
        <v>14</v>
      </c>
      <c r="H760">
        <v>894.48</v>
      </c>
      <c r="I760">
        <v>1336.37</v>
      </c>
      <c r="J760" t="s">
        <v>20</v>
      </c>
      <c r="K760">
        <v>0.26</v>
      </c>
      <c r="L760" t="s">
        <v>16</v>
      </c>
      <c r="M760" t="s">
        <v>17</v>
      </c>
      <c r="N760" t="s">
        <v>76</v>
      </c>
    </row>
    <row r="761" spans="1:14" x14ac:dyDescent="0.3">
      <c r="A761">
        <v>1060</v>
      </c>
      <c r="B761" s="13">
        <v>45000</v>
      </c>
      <c r="C761" t="s">
        <v>18</v>
      </c>
      <c r="D761" t="s">
        <v>27</v>
      </c>
      <c r="E761">
        <v>8594.43</v>
      </c>
      <c r="F761">
        <v>44</v>
      </c>
      <c r="G761" t="s">
        <v>14</v>
      </c>
      <c r="H761">
        <v>2211.9499999999998</v>
      </c>
      <c r="I761" s="14" t="s">
        <v>135</v>
      </c>
      <c r="J761" t="s">
        <v>20</v>
      </c>
      <c r="K761">
        <v>0.04</v>
      </c>
      <c r="L761" t="s">
        <v>16</v>
      </c>
      <c r="M761" t="s">
        <v>29</v>
      </c>
      <c r="N761" t="s">
        <v>58</v>
      </c>
    </row>
    <row r="762" spans="1:14" x14ac:dyDescent="0.3">
      <c r="A762">
        <v>1050</v>
      </c>
      <c r="B762" s="13">
        <v>45159</v>
      </c>
      <c r="C762" t="s">
        <v>18</v>
      </c>
      <c r="D762" t="s">
        <v>30</v>
      </c>
      <c r="E762">
        <v>9976.52</v>
      </c>
      <c r="F762">
        <v>17</v>
      </c>
      <c r="G762" t="s">
        <v>24</v>
      </c>
      <c r="H762">
        <v>2346.8000000000002</v>
      </c>
      <c r="I762">
        <v>2654.65</v>
      </c>
      <c r="J762" t="s">
        <v>15</v>
      </c>
      <c r="K762">
        <v>0.13</v>
      </c>
      <c r="L762" t="s">
        <v>16</v>
      </c>
      <c r="M762" t="s">
        <v>17</v>
      </c>
      <c r="N762" t="s">
        <v>64</v>
      </c>
    </row>
    <row r="763" spans="1:14" x14ac:dyDescent="0.3">
      <c r="A763">
        <v>1028</v>
      </c>
      <c r="B763" s="13">
        <v>45150</v>
      </c>
      <c r="C763" t="s">
        <v>31</v>
      </c>
      <c r="D763" t="s">
        <v>27</v>
      </c>
      <c r="E763">
        <v>2490.8200000000002</v>
      </c>
      <c r="F763">
        <v>41</v>
      </c>
      <c r="G763" t="s">
        <v>14</v>
      </c>
      <c r="H763">
        <v>3956.03</v>
      </c>
      <c r="I763">
        <v>4163.68</v>
      </c>
      <c r="J763" t="s">
        <v>15</v>
      </c>
      <c r="K763">
        <v>0.12</v>
      </c>
      <c r="L763" t="s">
        <v>25</v>
      </c>
      <c r="M763" t="s">
        <v>17</v>
      </c>
      <c r="N763" t="s">
        <v>86</v>
      </c>
    </row>
    <row r="764" spans="1:14" x14ac:dyDescent="0.3">
      <c r="A764">
        <v>1092</v>
      </c>
      <c r="B764" s="13">
        <v>45245</v>
      </c>
      <c r="C764" t="s">
        <v>18</v>
      </c>
      <c r="D764" t="s">
        <v>13</v>
      </c>
      <c r="E764">
        <v>499.47</v>
      </c>
      <c r="F764">
        <v>47</v>
      </c>
      <c r="G764" t="s">
        <v>28</v>
      </c>
      <c r="H764">
        <v>3034.32</v>
      </c>
      <c r="I764">
        <v>3375.79</v>
      </c>
      <c r="J764" t="s">
        <v>15</v>
      </c>
      <c r="K764">
        <v>0.28000000000000003</v>
      </c>
      <c r="L764" t="s">
        <v>21</v>
      </c>
      <c r="M764" t="s">
        <v>29</v>
      </c>
      <c r="N764" t="s">
        <v>80</v>
      </c>
    </row>
    <row r="765" spans="1:14" x14ac:dyDescent="0.3">
      <c r="A765">
        <v>1041</v>
      </c>
      <c r="B765" s="13">
        <v>44986</v>
      </c>
      <c r="C765" t="s">
        <v>31</v>
      </c>
      <c r="D765" t="s">
        <v>13</v>
      </c>
      <c r="E765">
        <v>4170.8</v>
      </c>
      <c r="F765">
        <v>44</v>
      </c>
      <c r="G765" t="s">
        <v>28</v>
      </c>
      <c r="H765">
        <v>3288.39</v>
      </c>
      <c r="I765">
        <v>3391.46</v>
      </c>
      <c r="J765" t="s">
        <v>15</v>
      </c>
      <c r="K765">
        <v>0.05</v>
      </c>
      <c r="L765" t="s">
        <v>21</v>
      </c>
      <c r="M765" t="s">
        <v>17</v>
      </c>
      <c r="N765" t="s">
        <v>67</v>
      </c>
    </row>
    <row r="766" spans="1:14" x14ac:dyDescent="0.3">
      <c r="A766">
        <v>1100</v>
      </c>
      <c r="B766" s="13">
        <v>45261</v>
      </c>
      <c r="C766" t="s">
        <v>26</v>
      </c>
      <c r="D766" t="s">
        <v>13</v>
      </c>
      <c r="E766">
        <v>1387.8</v>
      </c>
      <c r="F766">
        <v>34</v>
      </c>
      <c r="G766" t="s">
        <v>24</v>
      </c>
      <c r="H766">
        <v>4991.09</v>
      </c>
      <c r="I766">
        <v>5402.28</v>
      </c>
      <c r="J766" t="s">
        <v>20</v>
      </c>
      <c r="K766">
        <v>0</v>
      </c>
      <c r="L766" t="s">
        <v>16</v>
      </c>
      <c r="M766" t="s">
        <v>17</v>
      </c>
      <c r="N766" t="s">
        <v>55</v>
      </c>
    </row>
    <row r="767" spans="1:14" x14ac:dyDescent="0.3">
      <c r="A767">
        <v>1064</v>
      </c>
      <c r="B767" s="13">
        <v>45148</v>
      </c>
      <c r="C767" t="s">
        <v>23</v>
      </c>
      <c r="D767" t="s">
        <v>27</v>
      </c>
      <c r="E767">
        <v>322.02</v>
      </c>
      <c r="F767">
        <v>5</v>
      </c>
      <c r="G767" t="s">
        <v>22</v>
      </c>
      <c r="H767">
        <v>421.05</v>
      </c>
      <c r="I767">
        <v>488.23</v>
      </c>
      <c r="J767" t="s">
        <v>20</v>
      </c>
      <c r="K767">
        <v>7.0000000000000007E-2</v>
      </c>
      <c r="L767" t="s">
        <v>21</v>
      </c>
      <c r="M767" t="s">
        <v>17</v>
      </c>
      <c r="N767" t="s">
        <v>96</v>
      </c>
    </row>
    <row r="768" spans="1:14" x14ac:dyDescent="0.3">
      <c r="A768">
        <v>1027</v>
      </c>
      <c r="B768" s="13">
        <v>44963</v>
      </c>
      <c r="C768" t="s">
        <v>12</v>
      </c>
      <c r="D768" t="s">
        <v>19</v>
      </c>
      <c r="E768">
        <v>3668.23</v>
      </c>
      <c r="F768">
        <v>45</v>
      </c>
      <c r="G768" t="s">
        <v>22</v>
      </c>
      <c r="H768">
        <v>1153.9000000000001</v>
      </c>
      <c r="I768" s="14" t="s">
        <v>134</v>
      </c>
      <c r="J768" t="s">
        <v>15</v>
      </c>
      <c r="K768">
        <v>0.25</v>
      </c>
      <c r="L768" t="s">
        <v>21</v>
      </c>
      <c r="M768" t="s">
        <v>17</v>
      </c>
      <c r="N768" t="s">
        <v>74</v>
      </c>
    </row>
    <row r="769" spans="1:14" x14ac:dyDescent="0.3">
      <c r="A769">
        <v>1063</v>
      </c>
      <c r="B769" s="13">
        <v>45204</v>
      </c>
      <c r="C769" t="s">
        <v>26</v>
      </c>
      <c r="D769" t="s">
        <v>27</v>
      </c>
      <c r="E769">
        <v>7859.01</v>
      </c>
      <c r="F769">
        <v>27</v>
      </c>
      <c r="G769" t="s">
        <v>22</v>
      </c>
      <c r="H769">
        <v>2069.08</v>
      </c>
      <c r="I769">
        <v>2246.2399999999998</v>
      </c>
      <c r="J769" t="s">
        <v>15</v>
      </c>
      <c r="K769">
        <v>0.06</v>
      </c>
      <c r="L769" t="s">
        <v>25</v>
      </c>
      <c r="M769" t="s">
        <v>17</v>
      </c>
      <c r="N769" t="s">
        <v>63</v>
      </c>
    </row>
    <row r="770" spans="1:14" x14ac:dyDescent="0.3">
      <c r="A770">
        <v>1017</v>
      </c>
      <c r="B770" s="13">
        <v>45122</v>
      </c>
      <c r="C770" t="s">
        <v>18</v>
      </c>
      <c r="D770" t="s">
        <v>30</v>
      </c>
      <c r="E770">
        <v>5705.19</v>
      </c>
      <c r="F770">
        <v>23</v>
      </c>
      <c r="G770" t="s">
        <v>28</v>
      </c>
      <c r="H770">
        <v>1771.52</v>
      </c>
      <c r="I770">
        <v>2147.8000000000002</v>
      </c>
      <c r="J770" t="s">
        <v>15</v>
      </c>
      <c r="K770">
        <v>7.0000000000000007E-2</v>
      </c>
      <c r="L770" t="s">
        <v>25</v>
      </c>
      <c r="M770" t="s">
        <v>29</v>
      </c>
      <c r="N770" t="s">
        <v>64</v>
      </c>
    </row>
    <row r="771" spans="1:14" x14ac:dyDescent="0.3">
      <c r="A771">
        <v>1073</v>
      </c>
      <c r="B771" s="13">
        <v>45278</v>
      </c>
      <c r="C771" t="s">
        <v>12</v>
      </c>
      <c r="D771" t="s">
        <v>19</v>
      </c>
      <c r="E771">
        <v>3196.5</v>
      </c>
      <c r="F771">
        <v>40</v>
      </c>
      <c r="G771" t="s">
        <v>22</v>
      </c>
      <c r="H771">
        <v>157.15</v>
      </c>
      <c r="I771">
        <v>436.53</v>
      </c>
      <c r="J771" t="s">
        <v>15</v>
      </c>
      <c r="K771">
        <v>0.04</v>
      </c>
      <c r="L771" t="s">
        <v>16</v>
      </c>
      <c r="M771" t="s">
        <v>17</v>
      </c>
      <c r="N771" t="s">
        <v>74</v>
      </c>
    </row>
    <row r="772" spans="1:14" x14ac:dyDescent="0.3">
      <c r="A772">
        <v>1033</v>
      </c>
      <c r="B772" s="13">
        <v>45168</v>
      </c>
      <c r="C772" t="s">
        <v>23</v>
      </c>
      <c r="D772" t="s">
        <v>13</v>
      </c>
      <c r="E772">
        <v>6577.99</v>
      </c>
      <c r="F772">
        <v>14</v>
      </c>
      <c r="G772" t="s">
        <v>22</v>
      </c>
      <c r="H772">
        <v>504.3</v>
      </c>
      <c r="I772">
        <v>735.95</v>
      </c>
      <c r="J772" t="s">
        <v>20</v>
      </c>
      <c r="K772">
        <v>0.21</v>
      </c>
      <c r="L772" t="s">
        <v>16</v>
      </c>
      <c r="M772" t="s">
        <v>17</v>
      </c>
      <c r="N772" t="s">
        <v>69</v>
      </c>
    </row>
    <row r="773" spans="1:14" x14ac:dyDescent="0.3">
      <c r="A773">
        <v>1084</v>
      </c>
      <c r="B773" s="13">
        <v>45250</v>
      </c>
      <c r="C773" t="s">
        <v>23</v>
      </c>
      <c r="D773" t="s">
        <v>27</v>
      </c>
      <c r="E773">
        <v>2396.98</v>
      </c>
      <c r="F773">
        <v>15</v>
      </c>
      <c r="G773" t="s">
        <v>24</v>
      </c>
      <c r="H773">
        <v>3420.72</v>
      </c>
      <c r="I773">
        <v>3513.74</v>
      </c>
      <c r="J773" t="s">
        <v>15</v>
      </c>
      <c r="K773">
        <v>0.02</v>
      </c>
      <c r="L773" t="s">
        <v>16</v>
      </c>
      <c r="M773" t="s">
        <v>29</v>
      </c>
      <c r="N773" t="s">
        <v>96</v>
      </c>
    </row>
    <row r="774" spans="1:14" x14ac:dyDescent="0.3">
      <c r="A774">
        <v>1077</v>
      </c>
      <c r="B774" s="13">
        <v>45145</v>
      </c>
      <c r="C774" t="s">
        <v>31</v>
      </c>
      <c r="D774" t="s">
        <v>13</v>
      </c>
      <c r="E774">
        <v>242.38</v>
      </c>
      <c r="F774">
        <v>43</v>
      </c>
      <c r="G774" t="s">
        <v>22</v>
      </c>
      <c r="H774">
        <v>4402.66</v>
      </c>
      <c r="I774">
        <v>4724.7</v>
      </c>
      <c r="J774" t="s">
        <v>15</v>
      </c>
      <c r="K774">
        <v>0.1</v>
      </c>
      <c r="L774" t="s">
        <v>25</v>
      </c>
      <c r="M774" t="s">
        <v>17</v>
      </c>
      <c r="N774" t="s">
        <v>67</v>
      </c>
    </row>
    <row r="775" spans="1:14" x14ac:dyDescent="0.3">
      <c r="A775">
        <v>1092</v>
      </c>
      <c r="B775" s="13">
        <v>45118</v>
      </c>
      <c r="C775" t="s">
        <v>12</v>
      </c>
      <c r="D775" t="s">
        <v>13</v>
      </c>
      <c r="E775">
        <v>7667.1</v>
      </c>
      <c r="F775">
        <v>33</v>
      </c>
      <c r="G775" t="s">
        <v>28</v>
      </c>
      <c r="H775">
        <v>2595.42</v>
      </c>
      <c r="I775">
        <v>3083.06</v>
      </c>
      <c r="J775" t="s">
        <v>15</v>
      </c>
      <c r="K775">
        <v>0.08</v>
      </c>
      <c r="L775" t="s">
        <v>21</v>
      </c>
      <c r="M775" t="s">
        <v>29</v>
      </c>
      <c r="N775" t="s">
        <v>83</v>
      </c>
    </row>
    <row r="776" spans="1:14" x14ac:dyDescent="0.3">
      <c r="A776">
        <v>1029</v>
      </c>
      <c r="B776" s="13">
        <v>44943</v>
      </c>
      <c r="C776" t="s">
        <v>31</v>
      </c>
      <c r="D776" t="s">
        <v>30</v>
      </c>
      <c r="E776">
        <v>6275.06</v>
      </c>
      <c r="F776">
        <v>31</v>
      </c>
      <c r="G776" t="s">
        <v>28</v>
      </c>
      <c r="H776">
        <v>2719</v>
      </c>
      <c r="I776">
        <v>3133.55</v>
      </c>
      <c r="J776" t="s">
        <v>20</v>
      </c>
      <c r="K776">
        <v>0.17</v>
      </c>
      <c r="L776" t="s">
        <v>25</v>
      </c>
      <c r="M776" t="s">
        <v>17</v>
      </c>
      <c r="N776" t="s">
        <v>62</v>
      </c>
    </row>
    <row r="777" spans="1:14" x14ac:dyDescent="0.3">
      <c r="A777">
        <v>1013</v>
      </c>
      <c r="B777" s="13">
        <v>44938</v>
      </c>
      <c r="C777" t="s">
        <v>26</v>
      </c>
      <c r="D777" t="s">
        <v>19</v>
      </c>
      <c r="E777">
        <v>7646.8</v>
      </c>
      <c r="F777">
        <v>35</v>
      </c>
      <c r="G777" t="s">
        <v>28</v>
      </c>
      <c r="H777">
        <v>1312.71</v>
      </c>
      <c r="I777" s="14" t="s">
        <v>133</v>
      </c>
      <c r="J777" t="s">
        <v>20</v>
      </c>
      <c r="K777">
        <v>0.22</v>
      </c>
      <c r="L777" t="s">
        <v>25</v>
      </c>
      <c r="M777" t="s">
        <v>17</v>
      </c>
      <c r="N777" t="s">
        <v>76</v>
      </c>
    </row>
    <row r="778" spans="1:14" x14ac:dyDescent="0.3">
      <c r="A778">
        <v>1046</v>
      </c>
      <c r="B778" s="13">
        <v>45119</v>
      </c>
      <c r="C778" t="s">
        <v>12</v>
      </c>
      <c r="D778" t="s">
        <v>30</v>
      </c>
      <c r="E778">
        <v>485.49</v>
      </c>
      <c r="F778">
        <v>17</v>
      </c>
      <c r="G778" t="s">
        <v>24</v>
      </c>
      <c r="H778">
        <v>3850.99</v>
      </c>
      <c r="I778" s="14" t="s">
        <v>132</v>
      </c>
      <c r="J778" t="s">
        <v>20</v>
      </c>
      <c r="K778">
        <v>0.16</v>
      </c>
      <c r="L778" t="s">
        <v>21</v>
      </c>
      <c r="M778" t="s">
        <v>29</v>
      </c>
      <c r="N778" t="s">
        <v>72</v>
      </c>
    </row>
    <row r="779" spans="1:14" x14ac:dyDescent="0.3">
      <c r="A779">
        <v>1035</v>
      </c>
      <c r="B779" s="13">
        <v>44948</v>
      </c>
      <c r="C779" t="s">
        <v>26</v>
      </c>
      <c r="D779" t="s">
        <v>30</v>
      </c>
      <c r="E779">
        <v>8387.48</v>
      </c>
      <c r="F779">
        <v>28</v>
      </c>
      <c r="G779" t="s">
        <v>24</v>
      </c>
      <c r="H779">
        <v>3771.38</v>
      </c>
      <c r="I779">
        <v>4234.92</v>
      </c>
      <c r="J779" t="s">
        <v>15</v>
      </c>
      <c r="K779">
        <v>0.28000000000000003</v>
      </c>
      <c r="L779" t="s">
        <v>21</v>
      </c>
      <c r="M779" t="s">
        <v>17</v>
      </c>
      <c r="N779" t="s">
        <v>71</v>
      </c>
    </row>
    <row r="780" spans="1:14" x14ac:dyDescent="0.3">
      <c r="A780">
        <v>1006</v>
      </c>
      <c r="B780" s="13">
        <v>45046</v>
      </c>
      <c r="C780" t="s">
        <v>31</v>
      </c>
      <c r="D780" t="s">
        <v>30</v>
      </c>
      <c r="E780">
        <v>6233.31</v>
      </c>
      <c r="F780">
        <v>19</v>
      </c>
      <c r="G780" t="s">
        <v>14</v>
      </c>
      <c r="H780">
        <v>2962.41</v>
      </c>
      <c r="I780" s="14" t="s">
        <v>131</v>
      </c>
      <c r="J780" t="s">
        <v>15</v>
      </c>
      <c r="K780">
        <v>0.28999999999999998</v>
      </c>
      <c r="L780" t="s">
        <v>16</v>
      </c>
      <c r="M780" t="s">
        <v>17</v>
      </c>
      <c r="N780" t="s">
        <v>62</v>
      </c>
    </row>
    <row r="781" spans="1:14" x14ac:dyDescent="0.3">
      <c r="A781">
        <v>1082</v>
      </c>
      <c r="B781" s="13">
        <v>45136</v>
      </c>
      <c r="C781" t="s">
        <v>12</v>
      </c>
      <c r="D781" t="s">
        <v>13</v>
      </c>
      <c r="E781">
        <v>5677.61</v>
      </c>
      <c r="F781">
        <v>46</v>
      </c>
      <c r="G781" t="s">
        <v>22</v>
      </c>
      <c r="H781">
        <v>1102.69</v>
      </c>
      <c r="I781" s="14" t="s">
        <v>130</v>
      </c>
      <c r="J781" t="s">
        <v>15</v>
      </c>
      <c r="K781">
        <v>0.11</v>
      </c>
      <c r="L781" t="s">
        <v>21</v>
      </c>
      <c r="M781" t="s">
        <v>29</v>
      </c>
      <c r="N781" t="s">
        <v>83</v>
      </c>
    </row>
    <row r="782" spans="1:14" x14ac:dyDescent="0.3">
      <c r="A782">
        <v>1069</v>
      </c>
      <c r="B782" s="13">
        <v>45232</v>
      </c>
      <c r="C782" t="s">
        <v>31</v>
      </c>
      <c r="D782" t="s">
        <v>30</v>
      </c>
      <c r="E782">
        <v>6283.68</v>
      </c>
      <c r="F782">
        <v>23</v>
      </c>
      <c r="G782" t="s">
        <v>24</v>
      </c>
      <c r="H782">
        <v>530.24</v>
      </c>
      <c r="I782" s="14" t="s">
        <v>129</v>
      </c>
      <c r="J782" t="s">
        <v>20</v>
      </c>
      <c r="K782">
        <v>0.23</v>
      </c>
      <c r="L782" t="s">
        <v>21</v>
      </c>
      <c r="M782" t="s">
        <v>29</v>
      </c>
      <c r="N782" t="s">
        <v>62</v>
      </c>
    </row>
    <row r="783" spans="1:14" x14ac:dyDescent="0.3">
      <c r="A783">
        <v>1047</v>
      </c>
      <c r="B783" s="13">
        <v>45196</v>
      </c>
      <c r="C783" t="s">
        <v>12</v>
      </c>
      <c r="D783" t="s">
        <v>30</v>
      </c>
      <c r="E783">
        <v>8657.89</v>
      </c>
      <c r="F783">
        <v>32</v>
      </c>
      <c r="G783" t="s">
        <v>28</v>
      </c>
      <c r="H783">
        <v>367.98</v>
      </c>
      <c r="I783" s="14" t="s">
        <v>128</v>
      </c>
      <c r="J783" t="s">
        <v>20</v>
      </c>
      <c r="K783">
        <v>0.22</v>
      </c>
      <c r="L783" t="s">
        <v>21</v>
      </c>
      <c r="M783" t="s">
        <v>17</v>
      </c>
      <c r="N783" t="s">
        <v>72</v>
      </c>
    </row>
    <row r="784" spans="1:14" x14ac:dyDescent="0.3">
      <c r="A784">
        <v>1025</v>
      </c>
      <c r="B784" s="13">
        <v>45118</v>
      </c>
      <c r="C784" t="s">
        <v>31</v>
      </c>
      <c r="D784" t="s">
        <v>19</v>
      </c>
      <c r="E784">
        <v>5910.67</v>
      </c>
      <c r="F784">
        <v>40</v>
      </c>
      <c r="G784" t="s">
        <v>28</v>
      </c>
      <c r="H784">
        <v>2983.85</v>
      </c>
      <c r="I784">
        <v>3239.74</v>
      </c>
      <c r="J784" t="s">
        <v>15</v>
      </c>
      <c r="K784">
        <v>0.27</v>
      </c>
      <c r="L784" t="s">
        <v>21</v>
      </c>
      <c r="M784" t="s">
        <v>29</v>
      </c>
      <c r="N784" t="s">
        <v>88</v>
      </c>
    </row>
    <row r="785" spans="1:14" x14ac:dyDescent="0.3">
      <c r="A785">
        <v>1066</v>
      </c>
      <c r="B785" s="13">
        <v>45101</v>
      </c>
      <c r="C785" t="s">
        <v>23</v>
      </c>
      <c r="D785" t="s">
        <v>19</v>
      </c>
      <c r="E785">
        <v>5851.41</v>
      </c>
      <c r="F785">
        <v>13</v>
      </c>
      <c r="G785" t="s">
        <v>24</v>
      </c>
      <c r="H785">
        <v>4133.92</v>
      </c>
      <c r="I785">
        <v>4358.37</v>
      </c>
      <c r="J785" t="s">
        <v>15</v>
      </c>
      <c r="K785">
        <v>0.13</v>
      </c>
      <c r="L785" t="s">
        <v>16</v>
      </c>
      <c r="M785" t="s">
        <v>17</v>
      </c>
      <c r="N785" t="s">
        <v>81</v>
      </c>
    </row>
    <row r="786" spans="1:14" x14ac:dyDescent="0.3">
      <c r="A786">
        <v>1010</v>
      </c>
      <c r="B786" s="13">
        <v>45211</v>
      </c>
      <c r="C786" t="s">
        <v>31</v>
      </c>
      <c r="D786" t="s">
        <v>30</v>
      </c>
      <c r="E786">
        <v>9907.7199999999993</v>
      </c>
      <c r="F786">
        <v>20</v>
      </c>
      <c r="G786" t="s">
        <v>24</v>
      </c>
      <c r="H786">
        <v>4298.74</v>
      </c>
      <c r="I786">
        <v>4475.1899999999996</v>
      </c>
      <c r="J786" t="s">
        <v>20</v>
      </c>
      <c r="K786">
        <v>0.16</v>
      </c>
      <c r="L786" t="s">
        <v>16</v>
      </c>
      <c r="M786" t="s">
        <v>29</v>
      </c>
      <c r="N786" t="s">
        <v>62</v>
      </c>
    </row>
    <row r="787" spans="1:14" x14ac:dyDescent="0.3">
      <c r="A787">
        <v>1056</v>
      </c>
      <c r="B787" s="13">
        <v>45130</v>
      </c>
      <c r="C787" t="s">
        <v>23</v>
      </c>
      <c r="D787" t="s">
        <v>19</v>
      </c>
      <c r="E787">
        <v>7591.63</v>
      </c>
      <c r="F787">
        <v>35</v>
      </c>
      <c r="G787" t="s">
        <v>24</v>
      </c>
      <c r="H787">
        <v>2344.9299999999998</v>
      </c>
      <c r="I787">
        <v>2707.25</v>
      </c>
      <c r="J787" t="s">
        <v>15</v>
      </c>
      <c r="K787">
        <v>0.12</v>
      </c>
      <c r="L787" t="s">
        <v>21</v>
      </c>
      <c r="M787" t="s">
        <v>17</v>
      </c>
      <c r="N787" t="s">
        <v>81</v>
      </c>
    </row>
    <row r="788" spans="1:14" x14ac:dyDescent="0.3">
      <c r="A788">
        <v>1030</v>
      </c>
      <c r="B788" s="13">
        <v>45090</v>
      </c>
      <c r="C788" t="s">
        <v>31</v>
      </c>
      <c r="D788" t="s">
        <v>19</v>
      </c>
      <c r="E788">
        <v>4478.71</v>
      </c>
      <c r="F788">
        <v>5</v>
      </c>
      <c r="G788" t="s">
        <v>14</v>
      </c>
      <c r="H788">
        <v>3932.14</v>
      </c>
      <c r="I788" s="14" t="s">
        <v>127</v>
      </c>
      <c r="J788" t="s">
        <v>15</v>
      </c>
      <c r="K788">
        <v>0.26</v>
      </c>
      <c r="L788" t="s">
        <v>21</v>
      </c>
      <c r="M788" t="s">
        <v>29</v>
      </c>
      <c r="N788" t="s">
        <v>88</v>
      </c>
    </row>
    <row r="789" spans="1:14" x14ac:dyDescent="0.3">
      <c r="A789">
        <v>1005</v>
      </c>
      <c r="B789" s="13">
        <v>45177</v>
      </c>
      <c r="C789" t="s">
        <v>12</v>
      </c>
      <c r="D789" t="s">
        <v>30</v>
      </c>
      <c r="E789">
        <v>7103.23</v>
      </c>
      <c r="F789">
        <v>9</v>
      </c>
      <c r="G789" t="s">
        <v>28</v>
      </c>
      <c r="H789">
        <v>4737.0600000000004</v>
      </c>
      <c r="I789">
        <v>4869.5</v>
      </c>
      <c r="J789" t="s">
        <v>15</v>
      </c>
      <c r="K789">
        <v>7.0000000000000007E-2</v>
      </c>
      <c r="L789" t="s">
        <v>16</v>
      </c>
      <c r="M789" t="s">
        <v>29</v>
      </c>
      <c r="N789" t="s">
        <v>72</v>
      </c>
    </row>
    <row r="790" spans="1:14" x14ac:dyDescent="0.3">
      <c r="A790">
        <v>1033</v>
      </c>
      <c r="B790" s="13">
        <v>45153</v>
      </c>
      <c r="C790" t="s">
        <v>12</v>
      </c>
      <c r="D790" t="s">
        <v>13</v>
      </c>
      <c r="E790">
        <v>3953.38</v>
      </c>
      <c r="F790">
        <v>29</v>
      </c>
      <c r="G790" t="s">
        <v>14</v>
      </c>
      <c r="H790">
        <v>1412.09</v>
      </c>
      <c r="I790" s="14" t="s">
        <v>126</v>
      </c>
      <c r="J790" t="s">
        <v>20</v>
      </c>
      <c r="K790">
        <v>7.0000000000000007E-2</v>
      </c>
      <c r="L790" t="s">
        <v>16</v>
      </c>
      <c r="M790" t="s">
        <v>29</v>
      </c>
      <c r="N790" t="s">
        <v>83</v>
      </c>
    </row>
    <row r="791" spans="1:14" x14ac:dyDescent="0.3">
      <c r="A791">
        <v>1065</v>
      </c>
      <c r="B791" s="13">
        <v>44933</v>
      </c>
      <c r="C791" t="s">
        <v>12</v>
      </c>
      <c r="D791" t="s">
        <v>30</v>
      </c>
      <c r="E791">
        <v>2365.87</v>
      </c>
      <c r="F791">
        <v>6</v>
      </c>
      <c r="G791" t="s">
        <v>14</v>
      </c>
      <c r="H791">
        <v>2019.9</v>
      </c>
      <c r="I791" s="14" t="s">
        <v>125</v>
      </c>
      <c r="J791" t="s">
        <v>15</v>
      </c>
      <c r="K791">
        <v>0.11</v>
      </c>
      <c r="L791" t="s">
        <v>21</v>
      </c>
      <c r="M791" t="s">
        <v>29</v>
      </c>
      <c r="N791" t="s">
        <v>72</v>
      </c>
    </row>
    <row r="792" spans="1:14" x14ac:dyDescent="0.3">
      <c r="A792">
        <v>1018</v>
      </c>
      <c r="B792" s="13">
        <v>44955</v>
      </c>
      <c r="C792" t="s">
        <v>18</v>
      </c>
      <c r="D792" t="s">
        <v>19</v>
      </c>
      <c r="E792">
        <v>6008.83</v>
      </c>
      <c r="F792">
        <v>25</v>
      </c>
      <c r="G792" t="s">
        <v>22</v>
      </c>
      <c r="H792">
        <v>4660.82</v>
      </c>
      <c r="I792" s="14" t="s">
        <v>124</v>
      </c>
      <c r="J792" t="s">
        <v>15</v>
      </c>
      <c r="K792">
        <v>7.0000000000000007E-2</v>
      </c>
      <c r="L792" t="s">
        <v>25</v>
      </c>
      <c r="M792" t="s">
        <v>29</v>
      </c>
      <c r="N792" t="s">
        <v>56</v>
      </c>
    </row>
    <row r="793" spans="1:14" x14ac:dyDescent="0.3">
      <c r="A793">
        <v>1096</v>
      </c>
      <c r="B793" s="13">
        <v>44959</v>
      </c>
      <c r="C793" t="s">
        <v>26</v>
      </c>
      <c r="D793" t="s">
        <v>13</v>
      </c>
      <c r="E793">
        <v>9289</v>
      </c>
      <c r="F793">
        <v>31</v>
      </c>
      <c r="G793" t="s">
        <v>28</v>
      </c>
      <c r="H793">
        <v>1724.24</v>
      </c>
      <c r="I793">
        <v>2036.2</v>
      </c>
      <c r="J793" t="s">
        <v>15</v>
      </c>
      <c r="K793">
        <v>0.17</v>
      </c>
      <c r="L793" t="s">
        <v>16</v>
      </c>
      <c r="M793" t="s">
        <v>29</v>
      </c>
      <c r="N793" t="s">
        <v>55</v>
      </c>
    </row>
    <row r="794" spans="1:14" x14ac:dyDescent="0.3">
      <c r="A794">
        <v>1049</v>
      </c>
      <c r="B794" s="13">
        <v>45060</v>
      </c>
      <c r="C794" t="s">
        <v>12</v>
      </c>
      <c r="D794" t="s">
        <v>27</v>
      </c>
      <c r="E794">
        <v>9298.48</v>
      </c>
      <c r="F794">
        <v>22</v>
      </c>
      <c r="G794" t="s">
        <v>28</v>
      </c>
      <c r="H794">
        <v>4573.6899999999996</v>
      </c>
      <c r="I794" s="14" t="s">
        <v>123</v>
      </c>
      <c r="J794" t="s">
        <v>15</v>
      </c>
      <c r="K794">
        <v>0.04</v>
      </c>
      <c r="L794" t="s">
        <v>16</v>
      </c>
      <c r="M794" t="s">
        <v>29</v>
      </c>
      <c r="N794" t="s">
        <v>100</v>
      </c>
    </row>
    <row r="795" spans="1:14" x14ac:dyDescent="0.3">
      <c r="A795">
        <v>1011</v>
      </c>
      <c r="B795" s="13">
        <v>45005</v>
      </c>
      <c r="C795" t="s">
        <v>23</v>
      </c>
      <c r="D795" t="s">
        <v>13</v>
      </c>
      <c r="E795">
        <v>3484.86</v>
      </c>
      <c r="F795">
        <v>2</v>
      </c>
      <c r="G795" t="s">
        <v>24</v>
      </c>
      <c r="H795">
        <v>4906.17</v>
      </c>
      <c r="I795">
        <v>5107.43</v>
      </c>
      <c r="J795" t="s">
        <v>20</v>
      </c>
      <c r="K795">
        <v>0.1</v>
      </c>
      <c r="L795" t="s">
        <v>16</v>
      </c>
      <c r="M795" t="s">
        <v>29</v>
      </c>
      <c r="N795" t="s">
        <v>69</v>
      </c>
    </row>
    <row r="796" spans="1:14" x14ac:dyDescent="0.3">
      <c r="A796">
        <v>1085</v>
      </c>
      <c r="B796" s="13">
        <v>44984</v>
      </c>
      <c r="C796" t="s">
        <v>12</v>
      </c>
      <c r="D796" t="s">
        <v>19</v>
      </c>
      <c r="E796">
        <v>5324.01</v>
      </c>
      <c r="F796">
        <v>45</v>
      </c>
      <c r="G796" t="s">
        <v>24</v>
      </c>
      <c r="H796">
        <v>3325.96</v>
      </c>
      <c r="I796">
        <v>3781.4</v>
      </c>
      <c r="J796" t="s">
        <v>20</v>
      </c>
      <c r="K796">
        <v>0.27</v>
      </c>
      <c r="L796" t="s">
        <v>21</v>
      </c>
      <c r="M796" t="s">
        <v>29</v>
      </c>
      <c r="N796" t="s">
        <v>74</v>
      </c>
    </row>
    <row r="797" spans="1:14" x14ac:dyDescent="0.3">
      <c r="A797">
        <v>1026</v>
      </c>
      <c r="B797" s="13">
        <v>44952</v>
      </c>
      <c r="C797" t="s">
        <v>18</v>
      </c>
      <c r="D797" t="s">
        <v>13</v>
      </c>
      <c r="E797">
        <v>2195.1999999999998</v>
      </c>
      <c r="F797">
        <v>5</v>
      </c>
      <c r="G797" t="s">
        <v>22</v>
      </c>
      <c r="H797">
        <v>4093.61</v>
      </c>
      <c r="I797">
        <v>4117.88</v>
      </c>
      <c r="J797" t="s">
        <v>20</v>
      </c>
      <c r="K797">
        <v>0.12</v>
      </c>
      <c r="L797" t="s">
        <v>21</v>
      </c>
      <c r="M797" t="s">
        <v>17</v>
      </c>
      <c r="N797" t="s">
        <v>80</v>
      </c>
    </row>
    <row r="798" spans="1:14" x14ac:dyDescent="0.3">
      <c r="A798">
        <v>1063</v>
      </c>
      <c r="B798" s="13">
        <v>45152</v>
      </c>
      <c r="C798" t="s">
        <v>23</v>
      </c>
      <c r="D798" t="s">
        <v>30</v>
      </c>
      <c r="E798">
        <v>9956.75</v>
      </c>
      <c r="F798">
        <v>27</v>
      </c>
      <c r="G798" t="s">
        <v>14</v>
      </c>
      <c r="H798">
        <v>3760.25</v>
      </c>
      <c r="I798">
        <v>4147.1099999999997</v>
      </c>
      <c r="J798" t="s">
        <v>15</v>
      </c>
      <c r="K798">
        <v>0.22</v>
      </c>
      <c r="L798" t="s">
        <v>16</v>
      </c>
      <c r="M798" t="s">
        <v>29</v>
      </c>
      <c r="N798" t="s">
        <v>60</v>
      </c>
    </row>
    <row r="799" spans="1:14" x14ac:dyDescent="0.3">
      <c r="A799">
        <v>1089</v>
      </c>
      <c r="B799" s="13">
        <v>45211</v>
      </c>
      <c r="C799" t="s">
        <v>18</v>
      </c>
      <c r="D799" t="s">
        <v>27</v>
      </c>
      <c r="E799">
        <v>9813.07</v>
      </c>
      <c r="F799">
        <v>25</v>
      </c>
      <c r="G799" t="s">
        <v>24</v>
      </c>
      <c r="H799">
        <v>3512.69</v>
      </c>
      <c r="I799">
        <v>3964.63</v>
      </c>
      <c r="J799" t="s">
        <v>20</v>
      </c>
      <c r="K799">
        <v>0.03</v>
      </c>
      <c r="L799" t="s">
        <v>21</v>
      </c>
      <c r="M799" t="s">
        <v>17</v>
      </c>
      <c r="N799" t="s">
        <v>58</v>
      </c>
    </row>
    <row r="800" spans="1:14" x14ac:dyDescent="0.3">
      <c r="A800">
        <v>1086</v>
      </c>
      <c r="B800" s="13">
        <v>44930</v>
      </c>
      <c r="C800" t="s">
        <v>23</v>
      </c>
      <c r="D800" t="s">
        <v>27</v>
      </c>
      <c r="E800">
        <v>6530.14</v>
      </c>
      <c r="F800">
        <v>8</v>
      </c>
      <c r="G800" t="s">
        <v>24</v>
      </c>
      <c r="H800">
        <v>1569.31</v>
      </c>
      <c r="I800">
        <v>1798.02</v>
      </c>
      <c r="J800" t="s">
        <v>15</v>
      </c>
      <c r="K800">
        <v>7.0000000000000007E-2</v>
      </c>
      <c r="L800" t="s">
        <v>21</v>
      </c>
      <c r="M800" t="s">
        <v>29</v>
      </c>
      <c r="N800" t="s">
        <v>96</v>
      </c>
    </row>
    <row r="801" spans="1:14" x14ac:dyDescent="0.3">
      <c r="A801">
        <v>1059</v>
      </c>
      <c r="B801" s="13">
        <v>45025</v>
      </c>
      <c r="C801" t="s">
        <v>31</v>
      </c>
      <c r="D801" t="s">
        <v>27</v>
      </c>
      <c r="E801">
        <v>8063.7</v>
      </c>
      <c r="F801">
        <v>1</v>
      </c>
      <c r="G801" t="s">
        <v>28</v>
      </c>
      <c r="H801">
        <v>332.62</v>
      </c>
      <c r="I801">
        <v>612.46</v>
      </c>
      <c r="J801" t="s">
        <v>20</v>
      </c>
      <c r="K801">
        <v>0.24</v>
      </c>
      <c r="L801" t="s">
        <v>16</v>
      </c>
      <c r="M801" t="s">
        <v>17</v>
      </c>
      <c r="N801" t="s">
        <v>86</v>
      </c>
    </row>
    <row r="802" spans="1:14" x14ac:dyDescent="0.3">
      <c r="A802">
        <v>1027</v>
      </c>
      <c r="B802" s="13">
        <v>44965</v>
      </c>
      <c r="C802" t="s">
        <v>26</v>
      </c>
      <c r="D802" t="s">
        <v>19</v>
      </c>
      <c r="E802">
        <v>7179.49</v>
      </c>
      <c r="F802">
        <v>20</v>
      </c>
      <c r="G802" t="s">
        <v>28</v>
      </c>
      <c r="H802">
        <v>1748.11</v>
      </c>
      <c r="I802">
        <v>2220.9</v>
      </c>
      <c r="J802" t="s">
        <v>15</v>
      </c>
      <c r="K802">
        <v>0.23</v>
      </c>
      <c r="L802" t="s">
        <v>21</v>
      </c>
      <c r="M802" t="s">
        <v>17</v>
      </c>
      <c r="N802" t="s">
        <v>76</v>
      </c>
    </row>
    <row r="803" spans="1:14" x14ac:dyDescent="0.3">
      <c r="A803">
        <v>1049</v>
      </c>
      <c r="B803" s="13">
        <v>45197</v>
      </c>
      <c r="C803" t="s">
        <v>26</v>
      </c>
      <c r="D803" t="s">
        <v>19</v>
      </c>
      <c r="E803">
        <v>5972.27</v>
      </c>
      <c r="F803">
        <v>44</v>
      </c>
      <c r="G803" t="s">
        <v>24</v>
      </c>
      <c r="H803">
        <v>3351.33</v>
      </c>
      <c r="I803">
        <v>3465.35</v>
      </c>
      <c r="J803" t="s">
        <v>20</v>
      </c>
      <c r="K803">
        <v>0.12</v>
      </c>
      <c r="L803" t="s">
        <v>25</v>
      </c>
      <c r="M803" t="s">
        <v>29</v>
      </c>
      <c r="N803" t="s">
        <v>76</v>
      </c>
    </row>
    <row r="804" spans="1:14" x14ac:dyDescent="0.3">
      <c r="A804">
        <v>1077</v>
      </c>
      <c r="B804" s="13">
        <v>45211</v>
      </c>
      <c r="C804" t="s">
        <v>18</v>
      </c>
      <c r="D804" t="s">
        <v>27</v>
      </c>
      <c r="E804">
        <v>628.15</v>
      </c>
      <c r="F804">
        <v>23</v>
      </c>
      <c r="G804" t="s">
        <v>28</v>
      </c>
      <c r="H804">
        <v>557.52</v>
      </c>
      <c r="I804">
        <v>822.39</v>
      </c>
      <c r="J804" t="s">
        <v>20</v>
      </c>
      <c r="K804">
        <v>0.28999999999999998</v>
      </c>
      <c r="L804" t="s">
        <v>21</v>
      </c>
      <c r="M804" t="s">
        <v>29</v>
      </c>
      <c r="N804" t="s">
        <v>58</v>
      </c>
    </row>
    <row r="805" spans="1:14" x14ac:dyDescent="0.3">
      <c r="A805">
        <v>1033</v>
      </c>
      <c r="B805" s="13">
        <v>45083</v>
      </c>
      <c r="C805" t="s">
        <v>26</v>
      </c>
      <c r="D805" t="s">
        <v>13</v>
      </c>
      <c r="E805">
        <v>4602.17</v>
      </c>
      <c r="F805">
        <v>32</v>
      </c>
      <c r="G805" t="s">
        <v>22</v>
      </c>
      <c r="H805">
        <v>108.99</v>
      </c>
      <c r="I805">
        <v>351.6</v>
      </c>
      <c r="J805" t="s">
        <v>20</v>
      </c>
      <c r="K805">
        <v>0.27</v>
      </c>
      <c r="L805" t="s">
        <v>21</v>
      </c>
      <c r="M805" t="s">
        <v>17</v>
      </c>
      <c r="N805" t="s">
        <v>55</v>
      </c>
    </row>
    <row r="806" spans="1:14" x14ac:dyDescent="0.3">
      <c r="A806">
        <v>1098</v>
      </c>
      <c r="B806" s="13">
        <v>45001</v>
      </c>
      <c r="C806" t="s">
        <v>18</v>
      </c>
      <c r="D806" t="s">
        <v>27</v>
      </c>
      <c r="E806">
        <v>6780.38</v>
      </c>
      <c r="F806">
        <v>11</v>
      </c>
      <c r="G806" t="s">
        <v>24</v>
      </c>
      <c r="H806">
        <v>741.48</v>
      </c>
      <c r="I806">
        <v>878.09</v>
      </c>
      <c r="J806" t="s">
        <v>15</v>
      </c>
      <c r="K806">
        <v>0.28999999999999998</v>
      </c>
      <c r="L806" t="s">
        <v>16</v>
      </c>
      <c r="M806" t="s">
        <v>17</v>
      </c>
      <c r="N806" t="s">
        <v>58</v>
      </c>
    </row>
    <row r="807" spans="1:14" x14ac:dyDescent="0.3">
      <c r="A807">
        <v>1099</v>
      </c>
      <c r="B807" s="13">
        <v>45214</v>
      </c>
      <c r="C807" t="s">
        <v>18</v>
      </c>
      <c r="D807" t="s">
        <v>13</v>
      </c>
      <c r="E807">
        <v>6807.56</v>
      </c>
      <c r="F807">
        <v>39</v>
      </c>
      <c r="G807" t="s">
        <v>28</v>
      </c>
      <c r="H807">
        <v>3592.89</v>
      </c>
      <c r="I807">
        <v>4004</v>
      </c>
      <c r="J807" t="s">
        <v>15</v>
      </c>
      <c r="K807">
        <v>0.13</v>
      </c>
      <c r="L807" t="s">
        <v>16</v>
      </c>
      <c r="M807" t="s">
        <v>29</v>
      </c>
      <c r="N807" t="s">
        <v>80</v>
      </c>
    </row>
    <row r="808" spans="1:14" x14ac:dyDescent="0.3">
      <c r="A808">
        <v>1001</v>
      </c>
      <c r="B808" s="13">
        <v>45056</v>
      </c>
      <c r="C808" t="s">
        <v>18</v>
      </c>
      <c r="D808" t="s">
        <v>13</v>
      </c>
      <c r="E808">
        <v>3793.91</v>
      </c>
      <c r="F808">
        <v>47</v>
      </c>
      <c r="G808" t="s">
        <v>22</v>
      </c>
      <c r="H808">
        <v>4865.33</v>
      </c>
      <c r="I808">
        <v>5316.13</v>
      </c>
      <c r="J808" t="s">
        <v>15</v>
      </c>
      <c r="K808">
        <v>0.06</v>
      </c>
      <c r="L808" t="s">
        <v>25</v>
      </c>
      <c r="M808" t="s">
        <v>29</v>
      </c>
      <c r="N808" t="s">
        <v>80</v>
      </c>
    </row>
    <row r="809" spans="1:14" x14ac:dyDescent="0.3">
      <c r="A809">
        <v>1021</v>
      </c>
      <c r="B809" s="13">
        <v>45101</v>
      </c>
      <c r="C809" t="s">
        <v>26</v>
      </c>
      <c r="D809" t="s">
        <v>19</v>
      </c>
      <c r="E809">
        <v>9422.75</v>
      </c>
      <c r="F809">
        <v>24</v>
      </c>
      <c r="G809" t="s">
        <v>28</v>
      </c>
      <c r="H809">
        <v>4916.17</v>
      </c>
      <c r="I809">
        <v>5309.32</v>
      </c>
      <c r="J809" t="s">
        <v>20</v>
      </c>
      <c r="K809">
        <v>0.19</v>
      </c>
      <c r="L809" t="s">
        <v>21</v>
      </c>
      <c r="M809" t="s">
        <v>29</v>
      </c>
      <c r="N809" t="s">
        <v>76</v>
      </c>
    </row>
    <row r="810" spans="1:14" x14ac:dyDescent="0.3">
      <c r="A810">
        <v>1055</v>
      </c>
      <c r="B810" s="13">
        <v>45010</v>
      </c>
      <c r="C810" t="s">
        <v>18</v>
      </c>
      <c r="D810" t="s">
        <v>13</v>
      </c>
      <c r="E810">
        <v>1756.83</v>
      </c>
      <c r="F810">
        <v>11</v>
      </c>
      <c r="G810" t="s">
        <v>28</v>
      </c>
      <c r="H810">
        <v>2495.1999999999998</v>
      </c>
      <c r="I810">
        <v>2600.9299999999998</v>
      </c>
      <c r="J810" t="s">
        <v>15</v>
      </c>
      <c r="K810">
        <v>0.21</v>
      </c>
      <c r="L810" t="s">
        <v>25</v>
      </c>
      <c r="M810" t="s">
        <v>17</v>
      </c>
      <c r="N810" t="s">
        <v>80</v>
      </c>
    </row>
    <row r="811" spans="1:14" x14ac:dyDescent="0.3">
      <c r="A811">
        <v>1006</v>
      </c>
      <c r="B811" s="13">
        <v>44948</v>
      </c>
      <c r="C811" t="s">
        <v>26</v>
      </c>
      <c r="D811" t="s">
        <v>27</v>
      </c>
      <c r="E811">
        <v>5053.5600000000004</v>
      </c>
      <c r="F811">
        <v>29</v>
      </c>
      <c r="G811" t="s">
        <v>28</v>
      </c>
      <c r="H811">
        <v>4353.29</v>
      </c>
      <c r="I811">
        <v>4405.8</v>
      </c>
      <c r="J811" t="s">
        <v>15</v>
      </c>
      <c r="K811">
        <v>0.04</v>
      </c>
      <c r="L811" t="s">
        <v>25</v>
      </c>
      <c r="M811" t="s">
        <v>29</v>
      </c>
      <c r="N811" t="s">
        <v>63</v>
      </c>
    </row>
    <row r="812" spans="1:14" x14ac:dyDescent="0.3">
      <c r="A812">
        <v>1092</v>
      </c>
      <c r="B812" s="13">
        <v>44953</v>
      </c>
      <c r="C812" t="s">
        <v>18</v>
      </c>
      <c r="D812" t="s">
        <v>19</v>
      </c>
      <c r="E812">
        <v>6939.75</v>
      </c>
      <c r="F812">
        <v>26</v>
      </c>
      <c r="G812" t="s">
        <v>24</v>
      </c>
      <c r="H812">
        <v>3697.29</v>
      </c>
      <c r="I812">
        <v>4003.96</v>
      </c>
      <c r="J812" t="s">
        <v>15</v>
      </c>
      <c r="K812">
        <v>0.24</v>
      </c>
      <c r="L812" t="s">
        <v>16</v>
      </c>
      <c r="M812" t="s">
        <v>29</v>
      </c>
      <c r="N812" t="s">
        <v>56</v>
      </c>
    </row>
    <row r="813" spans="1:14" x14ac:dyDescent="0.3">
      <c r="A813">
        <v>1081</v>
      </c>
      <c r="B813" s="13">
        <v>45121</v>
      </c>
      <c r="C813" t="s">
        <v>12</v>
      </c>
      <c r="D813" t="s">
        <v>30</v>
      </c>
      <c r="E813">
        <v>7001.64</v>
      </c>
      <c r="F813">
        <v>16</v>
      </c>
      <c r="G813" t="s">
        <v>14</v>
      </c>
      <c r="H813">
        <v>2530.15</v>
      </c>
      <c r="I813">
        <v>2568.13</v>
      </c>
      <c r="J813" t="s">
        <v>15</v>
      </c>
      <c r="K813">
        <v>0.01</v>
      </c>
      <c r="L813" t="s">
        <v>21</v>
      </c>
      <c r="M813" t="s">
        <v>29</v>
      </c>
      <c r="N813" t="s">
        <v>72</v>
      </c>
    </row>
    <row r="814" spans="1:14" x14ac:dyDescent="0.3">
      <c r="A814">
        <v>1069</v>
      </c>
      <c r="B814" s="13">
        <v>45263</v>
      </c>
      <c r="C814" t="s">
        <v>18</v>
      </c>
      <c r="D814" t="s">
        <v>30</v>
      </c>
      <c r="E814">
        <v>6521.53</v>
      </c>
      <c r="F814">
        <v>35</v>
      </c>
      <c r="G814" t="s">
        <v>28</v>
      </c>
      <c r="H814">
        <v>2885.16</v>
      </c>
      <c r="I814" s="14" t="s">
        <v>122</v>
      </c>
      <c r="J814" t="s">
        <v>15</v>
      </c>
      <c r="K814">
        <v>0.14000000000000001</v>
      </c>
      <c r="L814" t="s">
        <v>16</v>
      </c>
      <c r="M814" t="s">
        <v>29</v>
      </c>
      <c r="N814" t="s">
        <v>64</v>
      </c>
    </row>
    <row r="815" spans="1:14" x14ac:dyDescent="0.3">
      <c r="A815">
        <v>1095</v>
      </c>
      <c r="B815" s="13">
        <v>45162</v>
      </c>
      <c r="C815" t="s">
        <v>23</v>
      </c>
      <c r="D815" t="s">
        <v>19</v>
      </c>
      <c r="E815">
        <v>2825.35</v>
      </c>
      <c r="F815">
        <v>20</v>
      </c>
      <c r="G815" t="s">
        <v>22</v>
      </c>
      <c r="H815">
        <v>729.27</v>
      </c>
      <c r="I815" s="14" t="s">
        <v>121</v>
      </c>
      <c r="J815" t="s">
        <v>15</v>
      </c>
      <c r="K815">
        <v>0.1</v>
      </c>
      <c r="L815" t="s">
        <v>25</v>
      </c>
      <c r="M815" t="s">
        <v>29</v>
      </c>
      <c r="N815" t="s">
        <v>81</v>
      </c>
    </row>
    <row r="816" spans="1:14" x14ac:dyDescent="0.3">
      <c r="A816">
        <v>1005</v>
      </c>
      <c r="B816" s="13">
        <v>45018</v>
      </c>
      <c r="C816" t="s">
        <v>18</v>
      </c>
      <c r="D816" t="s">
        <v>27</v>
      </c>
      <c r="E816">
        <v>1646.45</v>
      </c>
      <c r="F816">
        <v>46</v>
      </c>
      <c r="G816" t="s">
        <v>24</v>
      </c>
      <c r="H816">
        <v>4691.42</v>
      </c>
      <c r="I816" s="14" t="s">
        <v>120</v>
      </c>
      <c r="J816" t="s">
        <v>20</v>
      </c>
      <c r="K816">
        <v>0.22</v>
      </c>
      <c r="L816" t="s">
        <v>25</v>
      </c>
      <c r="M816" t="s">
        <v>17</v>
      </c>
      <c r="N816" t="s">
        <v>58</v>
      </c>
    </row>
    <row r="817" spans="1:14" x14ac:dyDescent="0.3">
      <c r="A817">
        <v>1003</v>
      </c>
      <c r="B817" s="13">
        <v>44947</v>
      </c>
      <c r="C817" t="s">
        <v>31</v>
      </c>
      <c r="D817" t="s">
        <v>30</v>
      </c>
      <c r="E817">
        <v>6395.81</v>
      </c>
      <c r="F817">
        <v>3</v>
      </c>
      <c r="G817" t="s">
        <v>24</v>
      </c>
      <c r="H817">
        <v>1792.05</v>
      </c>
      <c r="I817">
        <v>2091.23</v>
      </c>
      <c r="J817" t="s">
        <v>20</v>
      </c>
      <c r="K817">
        <v>0.09</v>
      </c>
      <c r="L817" t="s">
        <v>16</v>
      </c>
      <c r="M817" t="s">
        <v>17</v>
      </c>
      <c r="N817" t="s">
        <v>62</v>
      </c>
    </row>
    <row r="818" spans="1:14" x14ac:dyDescent="0.3">
      <c r="A818">
        <v>1053</v>
      </c>
      <c r="B818" s="13">
        <v>45229</v>
      </c>
      <c r="C818" t="s">
        <v>18</v>
      </c>
      <c r="D818" t="s">
        <v>30</v>
      </c>
      <c r="E818">
        <v>6033.09</v>
      </c>
      <c r="F818">
        <v>1</v>
      </c>
      <c r="G818" t="s">
        <v>22</v>
      </c>
      <c r="H818">
        <v>2258.44</v>
      </c>
      <c r="I818">
        <v>2475.56</v>
      </c>
      <c r="J818" t="s">
        <v>15</v>
      </c>
      <c r="K818">
        <v>0.25</v>
      </c>
      <c r="L818" t="s">
        <v>16</v>
      </c>
      <c r="M818" t="s">
        <v>29</v>
      </c>
      <c r="N818" t="s">
        <v>64</v>
      </c>
    </row>
    <row r="819" spans="1:14" x14ac:dyDescent="0.3">
      <c r="A819">
        <v>1023</v>
      </c>
      <c r="B819" s="13">
        <v>45283</v>
      </c>
      <c r="C819" t="s">
        <v>23</v>
      </c>
      <c r="D819" t="s">
        <v>13</v>
      </c>
      <c r="E819">
        <v>1875.62</v>
      </c>
      <c r="F819">
        <v>47</v>
      </c>
      <c r="G819" t="s">
        <v>28</v>
      </c>
      <c r="H819">
        <v>3374.72</v>
      </c>
      <c r="I819" s="14" t="s">
        <v>119</v>
      </c>
      <c r="J819" t="s">
        <v>20</v>
      </c>
      <c r="K819">
        <v>0.18</v>
      </c>
      <c r="L819" t="s">
        <v>16</v>
      </c>
      <c r="M819" t="s">
        <v>29</v>
      </c>
      <c r="N819" t="s">
        <v>69</v>
      </c>
    </row>
    <row r="820" spans="1:14" x14ac:dyDescent="0.3">
      <c r="A820">
        <v>1053</v>
      </c>
      <c r="B820" s="13">
        <v>45010</v>
      </c>
      <c r="C820" t="s">
        <v>23</v>
      </c>
      <c r="D820" t="s">
        <v>13</v>
      </c>
      <c r="E820">
        <v>7080.88</v>
      </c>
      <c r="F820">
        <v>1</v>
      </c>
      <c r="G820" t="s">
        <v>14</v>
      </c>
      <c r="H820">
        <v>1702.82</v>
      </c>
      <c r="I820">
        <v>1862.61</v>
      </c>
      <c r="J820" t="s">
        <v>20</v>
      </c>
      <c r="K820">
        <v>0.24</v>
      </c>
      <c r="L820" t="s">
        <v>16</v>
      </c>
      <c r="M820" t="s">
        <v>17</v>
      </c>
      <c r="N820" t="s">
        <v>69</v>
      </c>
    </row>
    <row r="821" spans="1:14" x14ac:dyDescent="0.3">
      <c r="A821">
        <v>1037</v>
      </c>
      <c r="B821" s="13">
        <v>45188</v>
      </c>
      <c r="C821" t="s">
        <v>26</v>
      </c>
      <c r="D821" t="s">
        <v>27</v>
      </c>
      <c r="E821">
        <v>4606.2</v>
      </c>
      <c r="F821">
        <v>17</v>
      </c>
      <c r="G821" t="s">
        <v>28</v>
      </c>
      <c r="H821">
        <v>1308.58</v>
      </c>
      <c r="I821">
        <v>1575.59</v>
      </c>
      <c r="J821" t="s">
        <v>15</v>
      </c>
      <c r="K821">
        <v>0.3</v>
      </c>
      <c r="L821" t="s">
        <v>16</v>
      </c>
      <c r="M821" t="s">
        <v>29</v>
      </c>
      <c r="N821" t="s">
        <v>63</v>
      </c>
    </row>
    <row r="822" spans="1:14" x14ac:dyDescent="0.3">
      <c r="A822">
        <v>1074</v>
      </c>
      <c r="B822" s="13">
        <v>45073</v>
      </c>
      <c r="C822" t="s">
        <v>12</v>
      </c>
      <c r="D822" t="s">
        <v>19</v>
      </c>
      <c r="E822">
        <v>6710.83</v>
      </c>
      <c r="F822">
        <v>2</v>
      </c>
      <c r="G822" t="s">
        <v>22</v>
      </c>
      <c r="H822">
        <v>3173.69</v>
      </c>
      <c r="I822">
        <v>3503.11</v>
      </c>
      <c r="J822" t="s">
        <v>15</v>
      </c>
      <c r="K822">
        <v>0.2</v>
      </c>
      <c r="L822" t="s">
        <v>25</v>
      </c>
      <c r="M822" t="s">
        <v>17</v>
      </c>
      <c r="N822" t="s">
        <v>74</v>
      </c>
    </row>
    <row r="823" spans="1:14" x14ac:dyDescent="0.3">
      <c r="A823">
        <v>1074</v>
      </c>
      <c r="B823" s="13">
        <v>45183</v>
      </c>
      <c r="C823" t="s">
        <v>18</v>
      </c>
      <c r="D823" t="s">
        <v>27</v>
      </c>
      <c r="E823">
        <v>8389.93</v>
      </c>
      <c r="F823">
        <v>29</v>
      </c>
      <c r="G823" t="s">
        <v>24</v>
      </c>
      <c r="H823">
        <v>173.67</v>
      </c>
      <c r="I823">
        <v>565.62</v>
      </c>
      <c r="J823" t="s">
        <v>20</v>
      </c>
      <c r="K823">
        <v>0.3</v>
      </c>
      <c r="L823" t="s">
        <v>16</v>
      </c>
      <c r="M823" t="s">
        <v>29</v>
      </c>
      <c r="N823" t="s">
        <v>58</v>
      </c>
    </row>
    <row r="824" spans="1:14" x14ac:dyDescent="0.3">
      <c r="A824">
        <v>1083</v>
      </c>
      <c r="B824" s="13">
        <v>44984</v>
      </c>
      <c r="C824" t="s">
        <v>26</v>
      </c>
      <c r="D824" t="s">
        <v>19</v>
      </c>
      <c r="E824">
        <v>1780.31</v>
      </c>
      <c r="F824">
        <v>20</v>
      </c>
      <c r="G824" t="s">
        <v>14</v>
      </c>
      <c r="H824">
        <v>3617.59</v>
      </c>
      <c r="I824">
        <v>4003.5</v>
      </c>
      <c r="J824" t="s">
        <v>15</v>
      </c>
      <c r="K824">
        <v>0.01</v>
      </c>
      <c r="L824" t="s">
        <v>21</v>
      </c>
      <c r="M824" t="s">
        <v>17</v>
      </c>
      <c r="N824" t="s">
        <v>76</v>
      </c>
    </row>
    <row r="825" spans="1:14" x14ac:dyDescent="0.3">
      <c r="A825">
        <v>1017</v>
      </c>
      <c r="B825" s="13">
        <v>44941</v>
      </c>
      <c r="C825" t="s">
        <v>12</v>
      </c>
      <c r="D825" t="s">
        <v>30</v>
      </c>
      <c r="E825">
        <v>289.52999999999997</v>
      </c>
      <c r="F825">
        <v>6</v>
      </c>
      <c r="G825" t="s">
        <v>24</v>
      </c>
      <c r="H825">
        <v>2594.42</v>
      </c>
      <c r="I825">
        <v>3081.04</v>
      </c>
      <c r="J825" t="s">
        <v>20</v>
      </c>
      <c r="K825">
        <v>0.1</v>
      </c>
      <c r="L825" t="s">
        <v>25</v>
      </c>
      <c r="M825" t="s">
        <v>17</v>
      </c>
      <c r="N825" t="s">
        <v>72</v>
      </c>
    </row>
    <row r="826" spans="1:14" x14ac:dyDescent="0.3">
      <c r="A826">
        <v>1085</v>
      </c>
      <c r="B826" s="13">
        <v>45088</v>
      </c>
      <c r="C826" t="s">
        <v>18</v>
      </c>
      <c r="D826" t="s">
        <v>13</v>
      </c>
      <c r="E826">
        <v>7813.12</v>
      </c>
      <c r="F826">
        <v>8</v>
      </c>
      <c r="G826" t="s">
        <v>22</v>
      </c>
      <c r="H826">
        <v>3048.48</v>
      </c>
      <c r="I826">
        <v>3198.54</v>
      </c>
      <c r="J826" t="s">
        <v>20</v>
      </c>
      <c r="K826">
        <v>0.03</v>
      </c>
      <c r="L826" t="s">
        <v>25</v>
      </c>
      <c r="M826" t="s">
        <v>29</v>
      </c>
      <c r="N826" t="s">
        <v>80</v>
      </c>
    </row>
    <row r="827" spans="1:14" x14ac:dyDescent="0.3">
      <c r="A827">
        <v>1078</v>
      </c>
      <c r="B827" s="13">
        <v>45089</v>
      </c>
      <c r="C827" t="s">
        <v>31</v>
      </c>
      <c r="D827" t="s">
        <v>27</v>
      </c>
      <c r="E827">
        <v>6136</v>
      </c>
      <c r="F827">
        <v>29</v>
      </c>
      <c r="G827" t="s">
        <v>28</v>
      </c>
      <c r="H827">
        <v>3177.81</v>
      </c>
      <c r="I827">
        <v>3222.65</v>
      </c>
      <c r="J827" t="s">
        <v>20</v>
      </c>
      <c r="K827">
        <v>0.08</v>
      </c>
      <c r="L827" t="s">
        <v>21</v>
      </c>
      <c r="M827" t="s">
        <v>17</v>
      </c>
      <c r="N827" t="s">
        <v>86</v>
      </c>
    </row>
    <row r="828" spans="1:14" x14ac:dyDescent="0.3">
      <c r="A828">
        <v>1073</v>
      </c>
      <c r="B828" s="13">
        <v>45246</v>
      </c>
      <c r="C828" t="s">
        <v>18</v>
      </c>
      <c r="D828" t="s">
        <v>27</v>
      </c>
      <c r="E828">
        <v>7026.43</v>
      </c>
      <c r="F828">
        <v>48</v>
      </c>
      <c r="G828" t="s">
        <v>14</v>
      </c>
      <c r="H828">
        <v>2658.9</v>
      </c>
      <c r="I828">
        <v>2838.27</v>
      </c>
      <c r="J828" t="s">
        <v>15</v>
      </c>
      <c r="K828">
        <v>0.25</v>
      </c>
      <c r="L828" t="s">
        <v>21</v>
      </c>
      <c r="M828" t="s">
        <v>29</v>
      </c>
      <c r="N828" t="s">
        <v>58</v>
      </c>
    </row>
    <row r="829" spans="1:14" x14ac:dyDescent="0.3">
      <c r="A829">
        <v>1001</v>
      </c>
      <c r="B829" s="13">
        <v>45207</v>
      </c>
      <c r="C829" t="s">
        <v>23</v>
      </c>
      <c r="D829" t="s">
        <v>19</v>
      </c>
      <c r="E829">
        <v>8397.73</v>
      </c>
      <c r="F829">
        <v>33</v>
      </c>
      <c r="G829" t="s">
        <v>24</v>
      </c>
      <c r="H829">
        <v>2933.54</v>
      </c>
      <c r="I829">
        <v>3307.75</v>
      </c>
      <c r="J829" t="s">
        <v>20</v>
      </c>
      <c r="K829">
        <v>0.01</v>
      </c>
      <c r="L829" t="s">
        <v>25</v>
      </c>
      <c r="M829" t="s">
        <v>17</v>
      </c>
      <c r="N829" t="s">
        <v>81</v>
      </c>
    </row>
    <row r="830" spans="1:14" x14ac:dyDescent="0.3">
      <c r="A830">
        <v>1051</v>
      </c>
      <c r="B830" s="13">
        <v>45206</v>
      </c>
      <c r="C830" t="s">
        <v>23</v>
      </c>
      <c r="D830" t="s">
        <v>19</v>
      </c>
      <c r="E830">
        <v>8047.83</v>
      </c>
      <c r="F830">
        <v>3</v>
      </c>
      <c r="G830" t="s">
        <v>24</v>
      </c>
      <c r="H830">
        <v>3434.75</v>
      </c>
      <c r="I830">
        <v>3659.42</v>
      </c>
      <c r="J830" t="s">
        <v>15</v>
      </c>
      <c r="K830">
        <v>0.16</v>
      </c>
      <c r="L830" t="s">
        <v>16</v>
      </c>
      <c r="M830" t="s">
        <v>29</v>
      </c>
      <c r="N830" t="s">
        <v>81</v>
      </c>
    </row>
    <row r="831" spans="1:14" x14ac:dyDescent="0.3">
      <c r="A831">
        <v>1045</v>
      </c>
      <c r="B831" s="13">
        <v>44938</v>
      </c>
      <c r="C831" t="s">
        <v>31</v>
      </c>
      <c r="D831" t="s">
        <v>27</v>
      </c>
      <c r="E831">
        <v>9613.11</v>
      </c>
      <c r="F831">
        <v>35</v>
      </c>
      <c r="G831" t="s">
        <v>24</v>
      </c>
      <c r="H831">
        <v>3777.94</v>
      </c>
      <c r="I831">
        <v>4188.66</v>
      </c>
      <c r="J831" t="s">
        <v>15</v>
      </c>
      <c r="K831">
        <v>0.17</v>
      </c>
      <c r="L831" t="s">
        <v>25</v>
      </c>
      <c r="M831" t="s">
        <v>29</v>
      </c>
      <c r="N831" t="s">
        <v>86</v>
      </c>
    </row>
    <row r="832" spans="1:14" x14ac:dyDescent="0.3">
      <c r="A832">
        <v>1077</v>
      </c>
      <c r="B832" s="13">
        <v>45200</v>
      </c>
      <c r="C832" t="s">
        <v>26</v>
      </c>
      <c r="D832" t="s">
        <v>19</v>
      </c>
      <c r="E832">
        <v>5405.76</v>
      </c>
      <c r="F832">
        <v>5</v>
      </c>
      <c r="G832" t="s">
        <v>28</v>
      </c>
      <c r="H832">
        <v>3650.89</v>
      </c>
      <c r="I832">
        <v>3930.06</v>
      </c>
      <c r="J832" t="s">
        <v>15</v>
      </c>
      <c r="K832">
        <v>0.17</v>
      </c>
      <c r="L832" t="s">
        <v>25</v>
      </c>
      <c r="M832" t="s">
        <v>29</v>
      </c>
      <c r="N832" t="s">
        <v>76</v>
      </c>
    </row>
    <row r="833" spans="1:14" x14ac:dyDescent="0.3">
      <c r="A833">
        <v>1004</v>
      </c>
      <c r="B833" s="13">
        <v>45197</v>
      </c>
      <c r="C833" t="s">
        <v>12</v>
      </c>
      <c r="D833" t="s">
        <v>27</v>
      </c>
      <c r="E833">
        <v>4936.1099999999997</v>
      </c>
      <c r="F833">
        <v>27</v>
      </c>
      <c r="G833" t="s">
        <v>14</v>
      </c>
      <c r="H833">
        <v>4354.6000000000004</v>
      </c>
      <c r="I833" s="14" t="s">
        <v>118</v>
      </c>
      <c r="J833" t="s">
        <v>15</v>
      </c>
      <c r="K833">
        <v>0.14000000000000001</v>
      </c>
      <c r="L833" t="s">
        <v>21</v>
      </c>
      <c r="M833" t="s">
        <v>17</v>
      </c>
      <c r="N833" t="s">
        <v>100</v>
      </c>
    </row>
    <row r="834" spans="1:14" x14ac:dyDescent="0.3">
      <c r="A834">
        <v>1062</v>
      </c>
      <c r="B834" s="13">
        <v>45134</v>
      </c>
      <c r="C834" t="s">
        <v>18</v>
      </c>
      <c r="D834" t="s">
        <v>27</v>
      </c>
      <c r="E834">
        <v>4078.68</v>
      </c>
      <c r="F834">
        <v>44</v>
      </c>
      <c r="G834" t="s">
        <v>28</v>
      </c>
      <c r="H834">
        <v>987.74</v>
      </c>
      <c r="I834">
        <v>1462.19</v>
      </c>
      <c r="J834" t="s">
        <v>15</v>
      </c>
      <c r="K834">
        <v>0.24</v>
      </c>
      <c r="L834" t="s">
        <v>25</v>
      </c>
      <c r="M834" t="s">
        <v>29</v>
      </c>
      <c r="N834" t="s">
        <v>58</v>
      </c>
    </row>
    <row r="835" spans="1:14" x14ac:dyDescent="0.3">
      <c r="A835">
        <v>1065</v>
      </c>
      <c r="B835" s="13">
        <v>44953</v>
      </c>
      <c r="C835" t="s">
        <v>23</v>
      </c>
      <c r="D835" t="s">
        <v>27</v>
      </c>
      <c r="E835">
        <v>1621.54</v>
      </c>
      <c r="F835">
        <v>12</v>
      </c>
      <c r="G835" t="s">
        <v>28</v>
      </c>
      <c r="H835">
        <v>2035.68</v>
      </c>
      <c r="I835">
        <v>2079.64</v>
      </c>
      <c r="J835" t="s">
        <v>20</v>
      </c>
      <c r="K835">
        <v>0.04</v>
      </c>
      <c r="L835" t="s">
        <v>16</v>
      </c>
      <c r="M835" t="s">
        <v>29</v>
      </c>
      <c r="N835" t="s">
        <v>96</v>
      </c>
    </row>
    <row r="836" spans="1:14" x14ac:dyDescent="0.3">
      <c r="A836">
        <v>1032</v>
      </c>
      <c r="B836" s="13">
        <v>44998</v>
      </c>
      <c r="C836" t="s">
        <v>26</v>
      </c>
      <c r="D836" t="s">
        <v>30</v>
      </c>
      <c r="E836">
        <v>5768.81</v>
      </c>
      <c r="F836">
        <v>20</v>
      </c>
      <c r="G836" t="s">
        <v>28</v>
      </c>
      <c r="H836">
        <v>4741.59</v>
      </c>
      <c r="I836" s="14" t="s">
        <v>117</v>
      </c>
      <c r="J836" t="s">
        <v>15</v>
      </c>
      <c r="K836">
        <v>0.09</v>
      </c>
      <c r="L836" t="s">
        <v>21</v>
      </c>
      <c r="M836" t="s">
        <v>29</v>
      </c>
      <c r="N836" t="s">
        <v>71</v>
      </c>
    </row>
    <row r="837" spans="1:14" x14ac:dyDescent="0.3">
      <c r="A837">
        <v>1034</v>
      </c>
      <c r="B837" s="13">
        <v>44986</v>
      </c>
      <c r="C837" t="s">
        <v>31</v>
      </c>
      <c r="D837" t="s">
        <v>19</v>
      </c>
      <c r="E837">
        <v>2842.42</v>
      </c>
      <c r="F837">
        <v>45</v>
      </c>
      <c r="G837" t="s">
        <v>22</v>
      </c>
      <c r="H837">
        <v>2013.12</v>
      </c>
      <c r="I837">
        <v>2321.87</v>
      </c>
      <c r="J837" t="s">
        <v>15</v>
      </c>
      <c r="K837">
        <v>0.18</v>
      </c>
      <c r="L837" t="s">
        <v>25</v>
      </c>
      <c r="M837" t="s">
        <v>17</v>
      </c>
      <c r="N837" t="s">
        <v>88</v>
      </c>
    </row>
    <row r="838" spans="1:14" x14ac:dyDescent="0.3">
      <c r="A838">
        <v>1092</v>
      </c>
      <c r="B838" s="13">
        <v>45071</v>
      </c>
      <c r="C838" t="s">
        <v>23</v>
      </c>
      <c r="D838" t="s">
        <v>13</v>
      </c>
      <c r="E838">
        <v>9220.94</v>
      </c>
      <c r="F838">
        <v>20</v>
      </c>
      <c r="G838" t="s">
        <v>22</v>
      </c>
      <c r="H838">
        <v>668.11</v>
      </c>
      <c r="I838">
        <v>803.49</v>
      </c>
      <c r="J838" t="s">
        <v>15</v>
      </c>
      <c r="K838">
        <v>0.21</v>
      </c>
      <c r="L838" t="s">
        <v>25</v>
      </c>
      <c r="M838" t="s">
        <v>29</v>
      </c>
      <c r="N838" t="s">
        <v>69</v>
      </c>
    </row>
    <row r="839" spans="1:14" x14ac:dyDescent="0.3">
      <c r="A839">
        <v>1095</v>
      </c>
      <c r="B839" s="13">
        <v>45019</v>
      </c>
      <c r="C839" t="s">
        <v>31</v>
      </c>
      <c r="D839" t="s">
        <v>13</v>
      </c>
      <c r="E839">
        <v>5873.59</v>
      </c>
      <c r="F839">
        <v>9</v>
      </c>
      <c r="G839" t="s">
        <v>22</v>
      </c>
      <c r="H839">
        <v>2650.95</v>
      </c>
      <c r="I839" s="14" t="s">
        <v>116</v>
      </c>
      <c r="J839" t="s">
        <v>15</v>
      </c>
      <c r="K839">
        <v>0.12</v>
      </c>
      <c r="L839" t="s">
        <v>16</v>
      </c>
      <c r="M839" t="s">
        <v>17</v>
      </c>
      <c r="N839" t="s">
        <v>67</v>
      </c>
    </row>
    <row r="840" spans="1:14" x14ac:dyDescent="0.3">
      <c r="A840">
        <v>1072</v>
      </c>
      <c r="B840" s="13">
        <v>45235</v>
      </c>
      <c r="C840" t="s">
        <v>18</v>
      </c>
      <c r="D840" t="s">
        <v>19</v>
      </c>
      <c r="E840">
        <v>5969.12</v>
      </c>
      <c r="F840">
        <v>39</v>
      </c>
      <c r="G840" t="s">
        <v>14</v>
      </c>
      <c r="H840">
        <v>591.98</v>
      </c>
      <c r="I840">
        <v>934.04</v>
      </c>
      <c r="J840" t="s">
        <v>15</v>
      </c>
      <c r="K840">
        <v>0.26</v>
      </c>
      <c r="L840" t="s">
        <v>25</v>
      </c>
      <c r="M840" t="s">
        <v>17</v>
      </c>
      <c r="N840" t="s">
        <v>56</v>
      </c>
    </row>
    <row r="841" spans="1:14" x14ac:dyDescent="0.3">
      <c r="A841">
        <v>1039</v>
      </c>
      <c r="B841" s="13">
        <v>44934</v>
      </c>
      <c r="C841" t="s">
        <v>12</v>
      </c>
      <c r="D841" t="s">
        <v>27</v>
      </c>
      <c r="E841">
        <v>3613.75</v>
      </c>
      <c r="F841">
        <v>4</v>
      </c>
      <c r="G841" t="s">
        <v>28</v>
      </c>
      <c r="H841">
        <v>1054.1199999999999</v>
      </c>
      <c r="I841" s="14" t="s">
        <v>115</v>
      </c>
      <c r="J841" t="s">
        <v>20</v>
      </c>
      <c r="K841">
        <v>0.12</v>
      </c>
      <c r="L841" t="s">
        <v>25</v>
      </c>
      <c r="M841" t="s">
        <v>17</v>
      </c>
      <c r="N841" t="s">
        <v>100</v>
      </c>
    </row>
    <row r="842" spans="1:14" x14ac:dyDescent="0.3">
      <c r="A842">
        <v>1026</v>
      </c>
      <c r="B842" s="13">
        <v>45005</v>
      </c>
      <c r="C842" t="s">
        <v>23</v>
      </c>
      <c r="D842" t="s">
        <v>13</v>
      </c>
      <c r="E842">
        <v>614.69000000000005</v>
      </c>
      <c r="F842">
        <v>19</v>
      </c>
      <c r="G842" t="s">
        <v>28</v>
      </c>
      <c r="H842">
        <v>4991.68</v>
      </c>
      <c r="I842" s="14" t="s">
        <v>114</v>
      </c>
      <c r="J842" t="s">
        <v>15</v>
      </c>
      <c r="K842">
        <v>0.12</v>
      </c>
      <c r="L842" t="s">
        <v>25</v>
      </c>
      <c r="M842" t="s">
        <v>29</v>
      </c>
      <c r="N842" t="s">
        <v>69</v>
      </c>
    </row>
    <row r="843" spans="1:14" x14ac:dyDescent="0.3">
      <c r="A843">
        <v>1034</v>
      </c>
      <c r="B843" s="13">
        <v>44953</v>
      </c>
      <c r="C843" t="s">
        <v>23</v>
      </c>
      <c r="D843" t="s">
        <v>13</v>
      </c>
      <c r="E843">
        <v>414.26</v>
      </c>
      <c r="F843">
        <v>38</v>
      </c>
      <c r="G843" t="s">
        <v>22</v>
      </c>
      <c r="H843">
        <v>2729.75</v>
      </c>
      <c r="I843">
        <v>3081.5</v>
      </c>
      <c r="J843" t="s">
        <v>15</v>
      </c>
      <c r="K843">
        <v>0.01</v>
      </c>
      <c r="L843" t="s">
        <v>25</v>
      </c>
      <c r="M843" t="s">
        <v>29</v>
      </c>
      <c r="N843" t="s">
        <v>69</v>
      </c>
    </row>
    <row r="844" spans="1:14" x14ac:dyDescent="0.3">
      <c r="A844">
        <v>1054</v>
      </c>
      <c r="B844" s="13">
        <v>45100</v>
      </c>
      <c r="C844" t="s">
        <v>18</v>
      </c>
      <c r="D844" t="s">
        <v>19</v>
      </c>
      <c r="E844">
        <v>4291.0200000000004</v>
      </c>
      <c r="F844">
        <v>27</v>
      </c>
      <c r="G844" t="s">
        <v>28</v>
      </c>
      <c r="H844">
        <v>1456.09</v>
      </c>
      <c r="I844" s="14" t="s">
        <v>113</v>
      </c>
      <c r="J844" t="s">
        <v>20</v>
      </c>
      <c r="K844">
        <v>0.17</v>
      </c>
      <c r="L844" t="s">
        <v>16</v>
      </c>
      <c r="M844" t="s">
        <v>17</v>
      </c>
      <c r="N844" t="s">
        <v>56</v>
      </c>
    </row>
    <row r="845" spans="1:14" x14ac:dyDescent="0.3">
      <c r="A845">
        <v>1003</v>
      </c>
      <c r="B845" s="13">
        <v>44976</v>
      </c>
      <c r="C845" t="s">
        <v>26</v>
      </c>
      <c r="D845" t="s">
        <v>13</v>
      </c>
      <c r="E845">
        <v>937.2</v>
      </c>
      <c r="F845">
        <v>45</v>
      </c>
      <c r="G845" t="s">
        <v>28</v>
      </c>
      <c r="H845">
        <v>4974.1400000000003</v>
      </c>
      <c r="I845">
        <v>5227.93</v>
      </c>
      <c r="J845" t="s">
        <v>15</v>
      </c>
      <c r="K845">
        <v>0.21</v>
      </c>
      <c r="L845" t="s">
        <v>25</v>
      </c>
      <c r="M845" t="s">
        <v>29</v>
      </c>
      <c r="N845" t="s">
        <v>55</v>
      </c>
    </row>
    <row r="846" spans="1:14" x14ac:dyDescent="0.3">
      <c r="A846">
        <v>1050</v>
      </c>
      <c r="B846" s="13">
        <v>45125</v>
      </c>
      <c r="C846" t="s">
        <v>12</v>
      </c>
      <c r="D846" t="s">
        <v>27</v>
      </c>
      <c r="E846">
        <v>6107.78</v>
      </c>
      <c r="F846">
        <v>43</v>
      </c>
      <c r="G846" t="s">
        <v>24</v>
      </c>
      <c r="H846">
        <v>4834.47</v>
      </c>
      <c r="I846">
        <v>4973.38</v>
      </c>
      <c r="J846" t="s">
        <v>20</v>
      </c>
      <c r="K846">
        <v>0.03</v>
      </c>
      <c r="L846" t="s">
        <v>25</v>
      </c>
      <c r="M846" t="s">
        <v>29</v>
      </c>
      <c r="N846" t="s">
        <v>100</v>
      </c>
    </row>
    <row r="847" spans="1:14" x14ac:dyDescent="0.3">
      <c r="A847">
        <v>1012</v>
      </c>
      <c r="B847" s="13">
        <v>45275</v>
      </c>
      <c r="C847" t="s">
        <v>23</v>
      </c>
      <c r="D847" t="s">
        <v>19</v>
      </c>
      <c r="E847">
        <v>8821.6299999999992</v>
      </c>
      <c r="F847">
        <v>13</v>
      </c>
      <c r="G847" t="s">
        <v>28</v>
      </c>
      <c r="H847">
        <v>2231.66</v>
      </c>
      <c r="I847" s="14" t="s">
        <v>112</v>
      </c>
      <c r="J847" t="s">
        <v>20</v>
      </c>
      <c r="K847">
        <v>0.09</v>
      </c>
      <c r="L847" t="s">
        <v>25</v>
      </c>
      <c r="M847" t="s">
        <v>17</v>
      </c>
      <c r="N847" t="s">
        <v>81</v>
      </c>
    </row>
    <row r="848" spans="1:14" x14ac:dyDescent="0.3">
      <c r="A848">
        <v>1065</v>
      </c>
      <c r="B848" s="13">
        <v>45107</v>
      </c>
      <c r="C848" t="s">
        <v>12</v>
      </c>
      <c r="D848" t="s">
        <v>27</v>
      </c>
      <c r="E848">
        <v>8840.86</v>
      </c>
      <c r="F848">
        <v>13</v>
      </c>
      <c r="G848" t="s">
        <v>24</v>
      </c>
      <c r="H848">
        <v>1339</v>
      </c>
      <c r="I848">
        <v>1441.88</v>
      </c>
      <c r="J848" t="s">
        <v>20</v>
      </c>
      <c r="K848">
        <v>0.23</v>
      </c>
      <c r="L848" t="s">
        <v>21</v>
      </c>
      <c r="M848" t="s">
        <v>17</v>
      </c>
      <c r="N848" t="s">
        <v>100</v>
      </c>
    </row>
    <row r="849" spans="1:14" x14ac:dyDescent="0.3">
      <c r="A849">
        <v>1054</v>
      </c>
      <c r="B849" s="13">
        <v>44950</v>
      </c>
      <c r="C849" t="s">
        <v>23</v>
      </c>
      <c r="D849" t="s">
        <v>13</v>
      </c>
      <c r="E849">
        <v>6624.55</v>
      </c>
      <c r="F849">
        <v>22</v>
      </c>
      <c r="G849" t="s">
        <v>28</v>
      </c>
      <c r="H849">
        <v>4200.08</v>
      </c>
      <c r="I849">
        <v>4647.28</v>
      </c>
      <c r="J849" t="s">
        <v>20</v>
      </c>
      <c r="K849">
        <v>0.11</v>
      </c>
      <c r="L849" t="s">
        <v>16</v>
      </c>
      <c r="M849" t="s">
        <v>29</v>
      </c>
      <c r="N849" t="s">
        <v>69</v>
      </c>
    </row>
    <row r="850" spans="1:14" x14ac:dyDescent="0.3">
      <c r="A850">
        <v>1005</v>
      </c>
      <c r="B850" s="13">
        <v>45242</v>
      </c>
      <c r="C850" t="s">
        <v>12</v>
      </c>
      <c r="D850" t="s">
        <v>13</v>
      </c>
      <c r="E850">
        <v>2191.1999999999998</v>
      </c>
      <c r="F850">
        <v>28</v>
      </c>
      <c r="G850" t="s">
        <v>14</v>
      </c>
      <c r="H850">
        <v>3592.32</v>
      </c>
      <c r="I850">
        <v>3813.48</v>
      </c>
      <c r="J850" t="s">
        <v>15</v>
      </c>
      <c r="K850">
        <v>7.0000000000000007E-2</v>
      </c>
      <c r="L850" t="s">
        <v>21</v>
      </c>
      <c r="M850" t="s">
        <v>17</v>
      </c>
      <c r="N850" t="s">
        <v>83</v>
      </c>
    </row>
    <row r="851" spans="1:14" x14ac:dyDescent="0.3">
      <c r="A851">
        <v>1094</v>
      </c>
      <c r="B851" s="13">
        <v>44972</v>
      </c>
      <c r="C851" t="s">
        <v>31</v>
      </c>
      <c r="D851" t="s">
        <v>27</v>
      </c>
      <c r="E851">
        <v>8643.67</v>
      </c>
      <c r="F851">
        <v>47</v>
      </c>
      <c r="G851" t="s">
        <v>22</v>
      </c>
      <c r="H851">
        <v>3450.36</v>
      </c>
      <c r="I851">
        <v>3557.38</v>
      </c>
      <c r="J851" t="s">
        <v>15</v>
      </c>
      <c r="K851">
        <v>0.2</v>
      </c>
      <c r="L851" t="s">
        <v>21</v>
      </c>
      <c r="M851" t="s">
        <v>29</v>
      </c>
      <c r="N851" t="s">
        <v>86</v>
      </c>
    </row>
    <row r="852" spans="1:14" x14ac:dyDescent="0.3">
      <c r="A852">
        <v>1094</v>
      </c>
      <c r="B852" s="13">
        <v>44941</v>
      </c>
      <c r="C852" t="s">
        <v>23</v>
      </c>
      <c r="D852" t="s">
        <v>30</v>
      </c>
      <c r="E852">
        <v>8872.33</v>
      </c>
      <c r="F852">
        <v>45</v>
      </c>
      <c r="G852" t="s">
        <v>24</v>
      </c>
      <c r="H852">
        <v>4470.91</v>
      </c>
      <c r="I852">
        <v>4695.54</v>
      </c>
      <c r="J852" t="s">
        <v>20</v>
      </c>
      <c r="K852">
        <v>0.06</v>
      </c>
      <c r="L852" t="s">
        <v>16</v>
      </c>
      <c r="M852" t="s">
        <v>17</v>
      </c>
      <c r="N852" t="s">
        <v>60</v>
      </c>
    </row>
    <row r="853" spans="1:14" x14ac:dyDescent="0.3">
      <c r="A853">
        <v>1057</v>
      </c>
      <c r="B853" s="13">
        <v>45079</v>
      </c>
      <c r="C853" t="s">
        <v>12</v>
      </c>
      <c r="D853" t="s">
        <v>13</v>
      </c>
      <c r="E853">
        <v>2046.87</v>
      </c>
      <c r="F853">
        <v>22</v>
      </c>
      <c r="G853" t="s">
        <v>22</v>
      </c>
      <c r="H853">
        <v>3462.61</v>
      </c>
      <c r="I853" s="14" t="s">
        <v>111</v>
      </c>
      <c r="J853" t="s">
        <v>20</v>
      </c>
      <c r="K853">
        <v>0.27</v>
      </c>
      <c r="L853" t="s">
        <v>21</v>
      </c>
      <c r="M853" t="s">
        <v>29</v>
      </c>
      <c r="N853" t="s">
        <v>83</v>
      </c>
    </row>
    <row r="854" spans="1:14" x14ac:dyDescent="0.3">
      <c r="A854">
        <v>1017</v>
      </c>
      <c r="B854" s="13">
        <v>45148</v>
      </c>
      <c r="C854" t="s">
        <v>26</v>
      </c>
      <c r="D854" t="s">
        <v>30</v>
      </c>
      <c r="E854">
        <v>7400.52</v>
      </c>
      <c r="F854">
        <v>43</v>
      </c>
      <c r="G854" t="s">
        <v>24</v>
      </c>
      <c r="H854">
        <v>1454.8</v>
      </c>
      <c r="I854">
        <v>1674.97</v>
      </c>
      <c r="J854" t="s">
        <v>15</v>
      </c>
      <c r="K854">
        <v>0.03</v>
      </c>
      <c r="L854" t="s">
        <v>21</v>
      </c>
      <c r="M854" t="s">
        <v>29</v>
      </c>
      <c r="N854" t="s">
        <v>71</v>
      </c>
    </row>
    <row r="855" spans="1:14" x14ac:dyDescent="0.3">
      <c r="A855">
        <v>1047</v>
      </c>
      <c r="B855" s="13">
        <v>45132</v>
      </c>
      <c r="C855" t="s">
        <v>31</v>
      </c>
      <c r="D855" t="s">
        <v>13</v>
      </c>
      <c r="E855">
        <v>2936.54</v>
      </c>
      <c r="F855">
        <v>19</v>
      </c>
      <c r="G855" t="s">
        <v>24</v>
      </c>
      <c r="H855">
        <v>3484.62</v>
      </c>
      <c r="I855" s="14" t="s">
        <v>110</v>
      </c>
      <c r="J855" t="s">
        <v>20</v>
      </c>
      <c r="K855">
        <v>0.21</v>
      </c>
      <c r="L855" t="s">
        <v>21</v>
      </c>
      <c r="M855" t="s">
        <v>17</v>
      </c>
      <c r="N855" t="s">
        <v>67</v>
      </c>
    </row>
    <row r="856" spans="1:14" x14ac:dyDescent="0.3">
      <c r="A856">
        <v>1023</v>
      </c>
      <c r="B856" s="13">
        <v>45199</v>
      </c>
      <c r="C856" t="s">
        <v>31</v>
      </c>
      <c r="D856" t="s">
        <v>30</v>
      </c>
      <c r="E856">
        <v>8046.14</v>
      </c>
      <c r="F856">
        <v>8</v>
      </c>
      <c r="G856" t="s">
        <v>24</v>
      </c>
      <c r="H856">
        <v>1563.78</v>
      </c>
      <c r="I856" s="14" t="s">
        <v>109</v>
      </c>
      <c r="J856" t="s">
        <v>20</v>
      </c>
      <c r="K856">
        <v>0.15</v>
      </c>
      <c r="L856" t="s">
        <v>16</v>
      </c>
      <c r="M856" t="s">
        <v>29</v>
      </c>
      <c r="N856" t="s">
        <v>62</v>
      </c>
    </row>
    <row r="857" spans="1:14" x14ac:dyDescent="0.3">
      <c r="A857">
        <v>1079</v>
      </c>
      <c r="B857" s="13">
        <v>45162</v>
      </c>
      <c r="C857" t="s">
        <v>26</v>
      </c>
      <c r="D857" t="s">
        <v>30</v>
      </c>
      <c r="E857">
        <v>9972.66</v>
      </c>
      <c r="F857">
        <v>8</v>
      </c>
      <c r="G857" t="s">
        <v>14</v>
      </c>
      <c r="H857">
        <v>3808.23</v>
      </c>
      <c r="I857">
        <v>3891.62</v>
      </c>
      <c r="J857" t="s">
        <v>20</v>
      </c>
      <c r="K857">
        <v>0.26</v>
      </c>
      <c r="L857" t="s">
        <v>25</v>
      </c>
      <c r="M857" t="s">
        <v>29</v>
      </c>
      <c r="N857" t="s">
        <v>71</v>
      </c>
    </row>
    <row r="858" spans="1:14" x14ac:dyDescent="0.3">
      <c r="A858">
        <v>1085</v>
      </c>
      <c r="B858" s="13">
        <v>45266</v>
      </c>
      <c r="C858" t="s">
        <v>12</v>
      </c>
      <c r="D858" t="s">
        <v>30</v>
      </c>
      <c r="E858">
        <v>397.26</v>
      </c>
      <c r="F858">
        <v>42</v>
      </c>
      <c r="G858" t="s">
        <v>28</v>
      </c>
      <c r="H858">
        <v>3117.75</v>
      </c>
      <c r="I858">
        <v>3159.88</v>
      </c>
      <c r="J858" t="s">
        <v>15</v>
      </c>
      <c r="K858">
        <v>0.04</v>
      </c>
      <c r="L858" t="s">
        <v>16</v>
      </c>
      <c r="M858" t="s">
        <v>17</v>
      </c>
      <c r="N858" t="s">
        <v>72</v>
      </c>
    </row>
    <row r="859" spans="1:14" x14ac:dyDescent="0.3">
      <c r="A859">
        <v>1014</v>
      </c>
      <c r="B859" s="13">
        <v>45154</v>
      </c>
      <c r="C859" t="s">
        <v>18</v>
      </c>
      <c r="D859" t="s">
        <v>27</v>
      </c>
      <c r="E859">
        <v>8983.92</v>
      </c>
      <c r="F859">
        <v>26</v>
      </c>
      <c r="G859" t="s">
        <v>24</v>
      </c>
      <c r="H859">
        <v>433.19</v>
      </c>
      <c r="I859">
        <v>800.6</v>
      </c>
      <c r="J859" t="s">
        <v>20</v>
      </c>
      <c r="K859">
        <v>0.2</v>
      </c>
      <c r="L859" t="s">
        <v>16</v>
      </c>
      <c r="M859" t="s">
        <v>29</v>
      </c>
      <c r="N859" t="s">
        <v>58</v>
      </c>
    </row>
    <row r="860" spans="1:14" x14ac:dyDescent="0.3">
      <c r="A860">
        <v>1066</v>
      </c>
      <c r="B860" s="13">
        <v>44935</v>
      </c>
      <c r="C860" t="s">
        <v>26</v>
      </c>
      <c r="D860" t="s">
        <v>30</v>
      </c>
      <c r="E860">
        <v>6264.04</v>
      </c>
      <c r="F860">
        <v>48</v>
      </c>
      <c r="G860" t="s">
        <v>14</v>
      </c>
      <c r="H860">
        <v>2588.54</v>
      </c>
      <c r="I860">
        <v>2872.8</v>
      </c>
      <c r="J860" t="s">
        <v>15</v>
      </c>
      <c r="K860">
        <v>0.17</v>
      </c>
      <c r="L860" t="s">
        <v>16</v>
      </c>
      <c r="M860" t="s">
        <v>29</v>
      </c>
      <c r="N860" t="s">
        <v>71</v>
      </c>
    </row>
    <row r="861" spans="1:14" x14ac:dyDescent="0.3">
      <c r="A861">
        <v>1075</v>
      </c>
      <c r="B861" s="13">
        <v>45092</v>
      </c>
      <c r="C861" t="s">
        <v>12</v>
      </c>
      <c r="D861" t="s">
        <v>30</v>
      </c>
      <c r="E861">
        <v>9736.49</v>
      </c>
      <c r="F861">
        <v>26</v>
      </c>
      <c r="G861" t="s">
        <v>24</v>
      </c>
      <c r="H861">
        <v>1749.34</v>
      </c>
      <c r="I861">
        <v>1935.25</v>
      </c>
      <c r="J861" t="s">
        <v>15</v>
      </c>
      <c r="K861">
        <v>0.14000000000000001</v>
      </c>
      <c r="L861" t="s">
        <v>21</v>
      </c>
      <c r="M861" t="s">
        <v>29</v>
      </c>
      <c r="N861" t="s">
        <v>72</v>
      </c>
    </row>
    <row r="862" spans="1:14" x14ac:dyDescent="0.3">
      <c r="A862">
        <v>1051</v>
      </c>
      <c r="B862" s="13">
        <v>45245</v>
      </c>
      <c r="C862" t="s">
        <v>26</v>
      </c>
      <c r="D862" t="s">
        <v>30</v>
      </c>
      <c r="E862">
        <v>4703.59</v>
      </c>
      <c r="F862">
        <v>23</v>
      </c>
      <c r="G862" t="s">
        <v>28</v>
      </c>
      <c r="H862">
        <v>1676.42</v>
      </c>
      <c r="I862">
        <v>2082.52</v>
      </c>
      <c r="J862" t="s">
        <v>15</v>
      </c>
      <c r="K862">
        <v>0.15</v>
      </c>
      <c r="L862" t="s">
        <v>25</v>
      </c>
      <c r="M862" t="s">
        <v>17</v>
      </c>
      <c r="N862" t="s">
        <v>71</v>
      </c>
    </row>
    <row r="863" spans="1:14" x14ac:dyDescent="0.3">
      <c r="A863">
        <v>1038</v>
      </c>
      <c r="B863" s="13">
        <v>45140</v>
      </c>
      <c r="C863" t="s">
        <v>26</v>
      </c>
      <c r="D863" t="s">
        <v>13</v>
      </c>
      <c r="E863">
        <v>8489.14</v>
      </c>
      <c r="F863">
        <v>43</v>
      </c>
      <c r="G863" t="s">
        <v>24</v>
      </c>
      <c r="H863">
        <v>3031.17</v>
      </c>
      <c r="I863">
        <v>3231.32</v>
      </c>
      <c r="J863" t="s">
        <v>20</v>
      </c>
      <c r="K863">
        <v>0.22</v>
      </c>
      <c r="L863" t="s">
        <v>16</v>
      </c>
      <c r="M863" t="s">
        <v>17</v>
      </c>
      <c r="N863" t="s">
        <v>55</v>
      </c>
    </row>
    <row r="864" spans="1:14" x14ac:dyDescent="0.3">
      <c r="A864">
        <v>1064</v>
      </c>
      <c r="B864" s="13">
        <v>45043</v>
      </c>
      <c r="C864" t="s">
        <v>23</v>
      </c>
      <c r="D864" t="s">
        <v>30</v>
      </c>
      <c r="E864">
        <v>717.7</v>
      </c>
      <c r="F864">
        <v>13</v>
      </c>
      <c r="G864" t="s">
        <v>14</v>
      </c>
      <c r="H864">
        <v>1645.51</v>
      </c>
      <c r="I864">
        <v>2045.53</v>
      </c>
      <c r="J864" t="s">
        <v>20</v>
      </c>
      <c r="K864">
        <v>0.28000000000000003</v>
      </c>
      <c r="L864" t="s">
        <v>16</v>
      </c>
      <c r="M864" t="s">
        <v>17</v>
      </c>
      <c r="N864" t="s">
        <v>60</v>
      </c>
    </row>
    <row r="865" spans="1:14" x14ac:dyDescent="0.3">
      <c r="A865">
        <v>1098</v>
      </c>
      <c r="B865" s="13">
        <v>45270</v>
      </c>
      <c r="C865" t="s">
        <v>12</v>
      </c>
      <c r="D865" t="s">
        <v>13</v>
      </c>
      <c r="E865">
        <v>3419.26</v>
      </c>
      <c r="F865">
        <v>28</v>
      </c>
      <c r="G865" t="s">
        <v>28</v>
      </c>
      <c r="H865">
        <v>3895.62</v>
      </c>
      <c r="I865">
        <v>4055.44</v>
      </c>
      <c r="J865" t="s">
        <v>15</v>
      </c>
      <c r="K865">
        <v>0.03</v>
      </c>
      <c r="L865" t="s">
        <v>25</v>
      </c>
      <c r="M865" t="s">
        <v>17</v>
      </c>
      <c r="N865" t="s">
        <v>83</v>
      </c>
    </row>
    <row r="866" spans="1:14" x14ac:dyDescent="0.3">
      <c r="A866">
        <v>1038</v>
      </c>
      <c r="B866" s="13">
        <v>44998</v>
      </c>
      <c r="C866" t="s">
        <v>18</v>
      </c>
      <c r="D866" t="s">
        <v>30</v>
      </c>
      <c r="E866">
        <v>763.46</v>
      </c>
      <c r="F866">
        <v>9</v>
      </c>
      <c r="G866" t="s">
        <v>14</v>
      </c>
      <c r="H866">
        <v>400.42</v>
      </c>
      <c r="I866">
        <v>446.11</v>
      </c>
      <c r="J866" t="s">
        <v>15</v>
      </c>
      <c r="K866">
        <v>0.01</v>
      </c>
      <c r="L866" t="s">
        <v>25</v>
      </c>
      <c r="M866" t="s">
        <v>17</v>
      </c>
      <c r="N866" t="s">
        <v>64</v>
      </c>
    </row>
    <row r="867" spans="1:14" x14ac:dyDescent="0.3">
      <c r="A867">
        <v>1050</v>
      </c>
      <c r="B867" s="13">
        <v>44990</v>
      </c>
      <c r="C867" t="s">
        <v>23</v>
      </c>
      <c r="D867" t="s">
        <v>30</v>
      </c>
      <c r="E867">
        <v>9755.9</v>
      </c>
      <c r="F867">
        <v>20</v>
      </c>
      <c r="G867" t="s">
        <v>28</v>
      </c>
      <c r="H867">
        <v>3318.92</v>
      </c>
      <c r="I867">
        <v>3785.91</v>
      </c>
      <c r="J867" t="s">
        <v>15</v>
      </c>
      <c r="K867">
        <v>0.24</v>
      </c>
      <c r="L867" t="s">
        <v>25</v>
      </c>
      <c r="M867" t="s">
        <v>29</v>
      </c>
      <c r="N867" t="s">
        <v>60</v>
      </c>
    </row>
    <row r="868" spans="1:14" x14ac:dyDescent="0.3">
      <c r="A868">
        <v>1098</v>
      </c>
      <c r="B868" s="13">
        <v>45131</v>
      </c>
      <c r="C868" t="s">
        <v>26</v>
      </c>
      <c r="D868" t="s">
        <v>27</v>
      </c>
      <c r="E868">
        <v>8188.04</v>
      </c>
      <c r="F868">
        <v>19</v>
      </c>
      <c r="G868" t="s">
        <v>28</v>
      </c>
      <c r="H868">
        <v>4055.51</v>
      </c>
      <c r="I868">
        <v>4258.84</v>
      </c>
      <c r="J868" t="s">
        <v>20</v>
      </c>
      <c r="K868">
        <v>0.03</v>
      </c>
      <c r="L868" t="s">
        <v>21</v>
      </c>
      <c r="M868" t="s">
        <v>29</v>
      </c>
      <c r="N868" t="s">
        <v>63</v>
      </c>
    </row>
    <row r="869" spans="1:14" x14ac:dyDescent="0.3">
      <c r="A869">
        <v>1082</v>
      </c>
      <c r="B869" s="13">
        <v>45135</v>
      </c>
      <c r="C869" t="s">
        <v>26</v>
      </c>
      <c r="D869" t="s">
        <v>13</v>
      </c>
      <c r="E869">
        <v>8540.2199999999993</v>
      </c>
      <c r="F869">
        <v>48</v>
      </c>
      <c r="G869" t="s">
        <v>22</v>
      </c>
      <c r="H869">
        <v>3380.52</v>
      </c>
      <c r="I869">
        <v>3778.94</v>
      </c>
      <c r="J869" t="s">
        <v>20</v>
      </c>
      <c r="K869">
        <v>0.3</v>
      </c>
      <c r="L869" t="s">
        <v>25</v>
      </c>
      <c r="M869" t="s">
        <v>29</v>
      </c>
      <c r="N869" t="s">
        <v>55</v>
      </c>
    </row>
    <row r="870" spans="1:14" x14ac:dyDescent="0.3">
      <c r="A870">
        <v>1030</v>
      </c>
      <c r="B870" s="13">
        <v>44998</v>
      </c>
      <c r="C870" t="s">
        <v>26</v>
      </c>
      <c r="D870" t="s">
        <v>30</v>
      </c>
      <c r="E870">
        <v>9385.86</v>
      </c>
      <c r="F870">
        <v>39</v>
      </c>
      <c r="G870" t="s">
        <v>22</v>
      </c>
      <c r="H870">
        <v>2511.2800000000002</v>
      </c>
      <c r="I870" s="14" t="s">
        <v>108</v>
      </c>
      <c r="J870" t="s">
        <v>15</v>
      </c>
      <c r="K870">
        <v>0.19</v>
      </c>
      <c r="L870" t="s">
        <v>21</v>
      </c>
      <c r="M870" t="s">
        <v>17</v>
      </c>
      <c r="N870" t="s">
        <v>71</v>
      </c>
    </row>
    <row r="871" spans="1:14" x14ac:dyDescent="0.3">
      <c r="A871">
        <v>1079</v>
      </c>
      <c r="B871" s="13">
        <v>45203</v>
      </c>
      <c r="C871" t="s">
        <v>12</v>
      </c>
      <c r="D871" t="s">
        <v>13</v>
      </c>
      <c r="E871">
        <v>942.52</v>
      </c>
      <c r="F871">
        <v>12</v>
      </c>
      <c r="G871" t="s">
        <v>22</v>
      </c>
      <c r="H871">
        <v>4754.0200000000004</v>
      </c>
      <c r="I871" s="14" t="s">
        <v>107</v>
      </c>
      <c r="J871" t="s">
        <v>15</v>
      </c>
      <c r="K871">
        <v>0.2</v>
      </c>
      <c r="L871" t="s">
        <v>16</v>
      </c>
      <c r="M871" t="s">
        <v>29</v>
      </c>
      <c r="N871" t="s">
        <v>83</v>
      </c>
    </row>
    <row r="872" spans="1:14" x14ac:dyDescent="0.3">
      <c r="A872">
        <v>1091</v>
      </c>
      <c r="B872" s="13">
        <v>45200</v>
      </c>
      <c r="C872" t="s">
        <v>12</v>
      </c>
      <c r="D872" t="s">
        <v>13</v>
      </c>
      <c r="E872">
        <v>3917.42</v>
      </c>
      <c r="F872">
        <v>15</v>
      </c>
      <c r="G872" t="s">
        <v>28</v>
      </c>
      <c r="H872">
        <v>1534.7</v>
      </c>
      <c r="I872" s="14" t="s">
        <v>106</v>
      </c>
      <c r="J872" t="s">
        <v>20</v>
      </c>
      <c r="K872">
        <v>0.06</v>
      </c>
      <c r="L872" t="s">
        <v>21</v>
      </c>
      <c r="M872" t="s">
        <v>17</v>
      </c>
      <c r="N872" t="s">
        <v>83</v>
      </c>
    </row>
    <row r="873" spans="1:14" x14ac:dyDescent="0.3">
      <c r="A873">
        <v>1051</v>
      </c>
      <c r="B873" s="13">
        <v>45246</v>
      </c>
      <c r="C873" t="s">
        <v>23</v>
      </c>
      <c r="D873" t="s">
        <v>19</v>
      </c>
      <c r="E873">
        <v>803.25</v>
      </c>
      <c r="F873">
        <v>31</v>
      </c>
      <c r="G873" t="s">
        <v>24</v>
      </c>
      <c r="H873">
        <v>144.88</v>
      </c>
      <c r="I873">
        <v>175.29</v>
      </c>
      <c r="J873" t="s">
        <v>15</v>
      </c>
      <c r="K873">
        <v>7.0000000000000007E-2</v>
      </c>
      <c r="L873" t="s">
        <v>25</v>
      </c>
      <c r="M873" t="s">
        <v>29</v>
      </c>
      <c r="N873" t="s">
        <v>81</v>
      </c>
    </row>
    <row r="874" spans="1:14" x14ac:dyDescent="0.3">
      <c r="A874">
        <v>1063</v>
      </c>
      <c r="B874" s="13">
        <v>45264</v>
      </c>
      <c r="C874" t="s">
        <v>18</v>
      </c>
      <c r="D874" t="s">
        <v>27</v>
      </c>
      <c r="E874">
        <v>2186.85</v>
      </c>
      <c r="F874">
        <v>14</v>
      </c>
      <c r="G874" t="s">
        <v>14</v>
      </c>
      <c r="H874">
        <v>2188.35</v>
      </c>
      <c r="I874" s="14" t="s">
        <v>105</v>
      </c>
      <c r="J874" t="s">
        <v>20</v>
      </c>
      <c r="K874">
        <v>0.2</v>
      </c>
      <c r="L874" t="s">
        <v>21</v>
      </c>
      <c r="M874" t="s">
        <v>17</v>
      </c>
      <c r="N874" t="s">
        <v>58</v>
      </c>
    </row>
    <row r="875" spans="1:14" x14ac:dyDescent="0.3">
      <c r="A875">
        <v>1098</v>
      </c>
      <c r="B875" s="13">
        <v>45292</v>
      </c>
      <c r="C875" t="s">
        <v>23</v>
      </c>
      <c r="D875" t="s">
        <v>27</v>
      </c>
      <c r="E875">
        <v>2370.7199999999998</v>
      </c>
      <c r="F875">
        <v>11</v>
      </c>
      <c r="G875" t="s">
        <v>14</v>
      </c>
      <c r="H875">
        <v>213.41</v>
      </c>
      <c r="I875">
        <v>503.36</v>
      </c>
      <c r="J875" t="s">
        <v>20</v>
      </c>
      <c r="K875">
        <v>0.27</v>
      </c>
      <c r="L875" t="s">
        <v>25</v>
      </c>
      <c r="M875" t="s">
        <v>29</v>
      </c>
      <c r="N875" t="s">
        <v>96</v>
      </c>
    </row>
    <row r="876" spans="1:14" x14ac:dyDescent="0.3">
      <c r="A876">
        <v>1052</v>
      </c>
      <c r="B876" s="13">
        <v>45021</v>
      </c>
      <c r="C876" t="s">
        <v>31</v>
      </c>
      <c r="D876" t="s">
        <v>27</v>
      </c>
      <c r="E876">
        <v>4744.16</v>
      </c>
      <c r="F876">
        <v>26</v>
      </c>
      <c r="G876" t="s">
        <v>14</v>
      </c>
      <c r="H876">
        <v>4771.99</v>
      </c>
      <c r="I876">
        <v>5079.6499999999996</v>
      </c>
      <c r="J876" t="s">
        <v>15</v>
      </c>
      <c r="K876">
        <v>0.28999999999999998</v>
      </c>
      <c r="L876" t="s">
        <v>21</v>
      </c>
      <c r="M876" t="s">
        <v>29</v>
      </c>
      <c r="N876" t="s">
        <v>86</v>
      </c>
    </row>
    <row r="877" spans="1:14" x14ac:dyDescent="0.3">
      <c r="A877">
        <v>1038</v>
      </c>
      <c r="B877" s="13">
        <v>45092</v>
      </c>
      <c r="C877" t="s">
        <v>26</v>
      </c>
      <c r="D877" t="s">
        <v>19</v>
      </c>
      <c r="E877">
        <v>2758.77</v>
      </c>
      <c r="F877">
        <v>42</v>
      </c>
      <c r="G877" t="s">
        <v>22</v>
      </c>
      <c r="H877">
        <v>1089.0899999999999</v>
      </c>
      <c r="I877">
        <v>1355.44</v>
      </c>
      <c r="J877" t="s">
        <v>15</v>
      </c>
      <c r="K877">
        <v>0.06</v>
      </c>
      <c r="L877" t="s">
        <v>16</v>
      </c>
      <c r="M877" t="s">
        <v>17</v>
      </c>
      <c r="N877" t="s">
        <v>76</v>
      </c>
    </row>
    <row r="878" spans="1:14" x14ac:dyDescent="0.3">
      <c r="A878">
        <v>1097</v>
      </c>
      <c r="B878" s="13">
        <v>44958</v>
      </c>
      <c r="C878" t="s">
        <v>26</v>
      </c>
      <c r="D878" t="s">
        <v>19</v>
      </c>
      <c r="E878">
        <v>1099.68</v>
      </c>
      <c r="F878">
        <v>27</v>
      </c>
      <c r="G878" t="s">
        <v>28</v>
      </c>
      <c r="H878">
        <v>3955.19</v>
      </c>
      <c r="I878">
        <v>4393.68</v>
      </c>
      <c r="J878" t="s">
        <v>20</v>
      </c>
      <c r="K878">
        <v>0.04</v>
      </c>
      <c r="L878" t="s">
        <v>21</v>
      </c>
      <c r="M878" t="s">
        <v>29</v>
      </c>
      <c r="N878" t="s">
        <v>76</v>
      </c>
    </row>
    <row r="879" spans="1:14" x14ac:dyDescent="0.3">
      <c r="A879">
        <v>1088</v>
      </c>
      <c r="B879" s="13">
        <v>44937</v>
      </c>
      <c r="C879" t="s">
        <v>26</v>
      </c>
      <c r="D879" t="s">
        <v>27</v>
      </c>
      <c r="E879">
        <v>1758.16</v>
      </c>
      <c r="F879">
        <v>11</v>
      </c>
      <c r="G879" t="s">
        <v>22</v>
      </c>
      <c r="H879">
        <v>3884.13</v>
      </c>
      <c r="I879" s="14" t="s">
        <v>104</v>
      </c>
      <c r="J879" t="s">
        <v>20</v>
      </c>
      <c r="K879">
        <v>0.02</v>
      </c>
      <c r="L879" t="s">
        <v>16</v>
      </c>
      <c r="M879" t="s">
        <v>29</v>
      </c>
      <c r="N879" t="s">
        <v>63</v>
      </c>
    </row>
    <row r="880" spans="1:14" x14ac:dyDescent="0.3">
      <c r="A880">
        <v>1079</v>
      </c>
      <c r="B880" s="13">
        <v>45227</v>
      </c>
      <c r="C880" t="s">
        <v>23</v>
      </c>
      <c r="D880" t="s">
        <v>19</v>
      </c>
      <c r="E880">
        <v>1558.03</v>
      </c>
      <c r="F880">
        <v>38</v>
      </c>
      <c r="G880" t="s">
        <v>24</v>
      </c>
      <c r="H880">
        <v>1127.76</v>
      </c>
      <c r="I880">
        <v>1265.6600000000001</v>
      </c>
      <c r="J880" t="s">
        <v>20</v>
      </c>
      <c r="K880">
        <v>0.26</v>
      </c>
      <c r="L880" t="s">
        <v>25</v>
      </c>
      <c r="M880" t="s">
        <v>17</v>
      </c>
      <c r="N880" t="s">
        <v>81</v>
      </c>
    </row>
    <row r="881" spans="1:14" x14ac:dyDescent="0.3">
      <c r="A881">
        <v>1030</v>
      </c>
      <c r="B881" s="13">
        <v>45143</v>
      </c>
      <c r="C881" t="s">
        <v>23</v>
      </c>
      <c r="D881" t="s">
        <v>19</v>
      </c>
      <c r="E881">
        <v>9733.4599999999991</v>
      </c>
      <c r="F881">
        <v>34</v>
      </c>
      <c r="G881" t="s">
        <v>28</v>
      </c>
      <c r="H881">
        <v>3125.07</v>
      </c>
      <c r="I881">
        <v>3564.19</v>
      </c>
      <c r="J881" t="s">
        <v>20</v>
      </c>
      <c r="K881">
        <v>0.09</v>
      </c>
      <c r="L881" t="s">
        <v>16</v>
      </c>
      <c r="M881" t="s">
        <v>29</v>
      </c>
      <c r="N881" t="s">
        <v>81</v>
      </c>
    </row>
    <row r="882" spans="1:14" x14ac:dyDescent="0.3">
      <c r="A882">
        <v>1051</v>
      </c>
      <c r="B882" s="13">
        <v>45215</v>
      </c>
      <c r="C882" t="s">
        <v>26</v>
      </c>
      <c r="D882" t="s">
        <v>19</v>
      </c>
      <c r="E882">
        <v>7617</v>
      </c>
      <c r="F882">
        <v>43</v>
      </c>
      <c r="G882" t="s">
        <v>14</v>
      </c>
      <c r="H882">
        <v>287.99</v>
      </c>
      <c r="I882">
        <v>666.64</v>
      </c>
      <c r="J882" t="s">
        <v>20</v>
      </c>
      <c r="K882">
        <v>0</v>
      </c>
      <c r="L882" t="s">
        <v>25</v>
      </c>
      <c r="M882" t="s">
        <v>29</v>
      </c>
      <c r="N882" t="s">
        <v>76</v>
      </c>
    </row>
    <row r="883" spans="1:14" x14ac:dyDescent="0.3">
      <c r="A883">
        <v>1081</v>
      </c>
      <c r="B883" s="13">
        <v>45028</v>
      </c>
      <c r="C883" t="s">
        <v>23</v>
      </c>
      <c r="D883" t="s">
        <v>27</v>
      </c>
      <c r="E883">
        <v>9680.84</v>
      </c>
      <c r="F883">
        <v>19</v>
      </c>
      <c r="G883" t="s">
        <v>22</v>
      </c>
      <c r="H883">
        <v>2443.69</v>
      </c>
      <c r="I883">
        <v>2462.34</v>
      </c>
      <c r="J883" t="s">
        <v>15</v>
      </c>
      <c r="K883">
        <v>7.0000000000000007E-2</v>
      </c>
      <c r="L883" t="s">
        <v>25</v>
      </c>
      <c r="M883" t="s">
        <v>17</v>
      </c>
      <c r="N883" t="s">
        <v>96</v>
      </c>
    </row>
    <row r="884" spans="1:14" x14ac:dyDescent="0.3">
      <c r="A884">
        <v>1005</v>
      </c>
      <c r="B884" s="13">
        <v>45193</v>
      </c>
      <c r="C884" t="s">
        <v>12</v>
      </c>
      <c r="D884" t="s">
        <v>27</v>
      </c>
      <c r="E884">
        <v>4453.43</v>
      </c>
      <c r="F884">
        <v>6</v>
      </c>
      <c r="G884" t="s">
        <v>22</v>
      </c>
      <c r="H884">
        <v>122.5</v>
      </c>
      <c r="I884">
        <v>385.83</v>
      </c>
      <c r="J884" t="s">
        <v>20</v>
      </c>
      <c r="K884">
        <v>0.1</v>
      </c>
      <c r="L884" t="s">
        <v>16</v>
      </c>
      <c r="M884" t="s">
        <v>17</v>
      </c>
      <c r="N884" t="s">
        <v>100</v>
      </c>
    </row>
    <row r="885" spans="1:14" x14ac:dyDescent="0.3">
      <c r="A885">
        <v>1029</v>
      </c>
      <c r="B885" s="13">
        <v>45140</v>
      </c>
      <c r="C885" t="s">
        <v>12</v>
      </c>
      <c r="D885" t="s">
        <v>27</v>
      </c>
      <c r="E885">
        <v>2855.85</v>
      </c>
      <c r="F885">
        <v>46</v>
      </c>
      <c r="G885" t="s">
        <v>24</v>
      </c>
      <c r="H885">
        <v>4609.66</v>
      </c>
      <c r="I885">
        <v>4879.1499999999996</v>
      </c>
      <c r="J885" t="s">
        <v>20</v>
      </c>
      <c r="K885">
        <v>0.3</v>
      </c>
      <c r="L885" t="s">
        <v>16</v>
      </c>
      <c r="M885" t="s">
        <v>17</v>
      </c>
      <c r="N885" t="s">
        <v>100</v>
      </c>
    </row>
    <row r="886" spans="1:14" x14ac:dyDescent="0.3">
      <c r="A886">
        <v>1004</v>
      </c>
      <c r="B886" s="13">
        <v>45105</v>
      </c>
      <c r="C886" t="s">
        <v>23</v>
      </c>
      <c r="D886" t="s">
        <v>19</v>
      </c>
      <c r="E886">
        <v>8003.1</v>
      </c>
      <c r="F886">
        <v>38</v>
      </c>
      <c r="G886" t="s">
        <v>24</v>
      </c>
      <c r="H886">
        <v>4881.63</v>
      </c>
      <c r="I886">
        <v>5088.0600000000004</v>
      </c>
      <c r="J886" t="s">
        <v>20</v>
      </c>
      <c r="K886">
        <v>0.16</v>
      </c>
      <c r="L886" t="s">
        <v>21</v>
      </c>
      <c r="M886" t="s">
        <v>17</v>
      </c>
      <c r="N886" t="s">
        <v>81</v>
      </c>
    </row>
    <row r="887" spans="1:14" x14ac:dyDescent="0.3">
      <c r="A887">
        <v>1010</v>
      </c>
      <c r="B887" s="13">
        <v>45014</v>
      </c>
      <c r="C887" t="s">
        <v>26</v>
      </c>
      <c r="D887" t="s">
        <v>27</v>
      </c>
      <c r="E887">
        <v>3329.91</v>
      </c>
      <c r="F887">
        <v>49</v>
      </c>
      <c r="G887" t="s">
        <v>22</v>
      </c>
      <c r="H887">
        <v>1150.3</v>
      </c>
      <c r="I887">
        <v>1306.02</v>
      </c>
      <c r="J887" t="s">
        <v>15</v>
      </c>
      <c r="K887">
        <v>0.06</v>
      </c>
      <c r="L887" t="s">
        <v>21</v>
      </c>
      <c r="M887" t="s">
        <v>17</v>
      </c>
      <c r="N887" t="s">
        <v>63</v>
      </c>
    </row>
    <row r="888" spans="1:14" x14ac:dyDescent="0.3">
      <c r="A888">
        <v>1056</v>
      </c>
      <c r="B888" s="13">
        <v>44967</v>
      </c>
      <c r="C888" t="s">
        <v>23</v>
      </c>
      <c r="D888" t="s">
        <v>19</v>
      </c>
      <c r="E888">
        <v>3063.9</v>
      </c>
      <c r="F888">
        <v>42</v>
      </c>
      <c r="G888" t="s">
        <v>24</v>
      </c>
      <c r="H888">
        <v>1080.1199999999999</v>
      </c>
      <c r="I888" s="14" t="s">
        <v>103</v>
      </c>
      <c r="J888" t="s">
        <v>15</v>
      </c>
      <c r="K888">
        <v>0.1</v>
      </c>
      <c r="L888" t="s">
        <v>16</v>
      </c>
      <c r="M888" t="s">
        <v>29</v>
      </c>
      <c r="N888" t="s">
        <v>81</v>
      </c>
    </row>
    <row r="889" spans="1:14" x14ac:dyDescent="0.3">
      <c r="A889">
        <v>1017</v>
      </c>
      <c r="B889" s="13">
        <v>45002</v>
      </c>
      <c r="C889" t="s">
        <v>23</v>
      </c>
      <c r="D889" t="s">
        <v>30</v>
      </c>
      <c r="E889">
        <v>2401.81</v>
      </c>
      <c r="F889">
        <v>28</v>
      </c>
      <c r="G889" t="s">
        <v>14</v>
      </c>
      <c r="H889">
        <v>3780.91</v>
      </c>
      <c r="I889">
        <v>3892.73</v>
      </c>
      <c r="J889" t="s">
        <v>20</v>
      </c>
      <c r="K889">
        <v>0.1</v>
      </c>
      <c r="L889" t="s">
        <v>16</v>
      </c>
      <c r="M889" t="s">
        <v>17</v>
      </c>
      <c r="N889" t="s">
        <v>60</v>
      </c>
    </row>
    <row r="890" spans="1:14" x14ac:dyDescent="0.3">
      <c r="A890">
        <v>1074</v>
      </c>
      <c r="B890" s="13">
        <v>44972</v>
      </c>
      <c r="C890" t="s">
        <v>23</v>
      </c>
      <c r="D890" t="s">
        <v>19</v>
      </c>
      <c r="E890">
        <v>1383.82</v>
      </c>
      <c r="F890">
        <v>1</v>
      </c>
      <c r="G890" t="s">
        <v>24</v>
      </c>
      <c r="H890">
        <v>1304.23</v>
      </c>
      <c r="I890">
        <v>1705.71</v>
      </c>
      <c r="J890" t="s">
        <v>20</v>
      </c>
      <c r="K890">
        <v>0.01</v>
      </c>
      <c r="L890" t="s">
        <v>16</v>
      </c>
      <c r="M890" t="s">
        <v>17</v>
      </c>
      <c r="N890" t="s">
        <v>81</v>
      </c>
    </row>
    <row r="891" spans="1:14" x14ac:dyDescent="0.3">
      <c r="A891">
        <v>1017</v>
      </c>
      <c r="B891" s="13">
        <v>45086</v>
      </c>
      <c r="C891" t="s">
        <v>31</v>
      </c>
      <c r="D891" t="s">
        <v>13</v>
      </c>
      <c r="E891">
        <v>2638.98</v>
      </c>
      <c r="F891">
        <v>35</v>
      </c>
      <c r="G891" t="s">
        <v>24</v>
      </c>
      <c r="H891">
        <v>4480.63</v>
      </c>
      <c r="I891">
        <v>4884.12</v>
      </c>
      <c r="J891" t="s">
        <v>15</v>
      </c>
      <c r="K891">
        <v>0.04</v>
      </c>
      <c r="L891" t="s">
        <v>16</v>
      </c>
      <c r="M891" t="s">
        <v>29</v>
      </c>
      <c r="N891" t="s">
        <v>67</v>
      </c>
    </row>
    <row r="892" spans="1:14" x14ac:dyDescent="0.3">
      <c r="A892">
        <v>1084</v>
      </c>
      <c r="B892" s="13">
        <v>45006</v>
      </c>
      <c r="C892" t="s">
        <v>12</v>
      </c>
      <c r="D892" t="s">
        <v>27</v>
      </c>
      <c r="E892">
        <v>3617.67</v>
      </c>
      <c r="F892">
        <v>40</v>
      </c>
      <c r="G892" t="s">
        <v>22</v>
      </c>
      <c r="H892">
        <v>2890.95</v>
      </c>
      <c r="I892">
        <v>3104.43</v>
      </c>
      <c r="J892" t="s">
        <v>15</v>
      </c>
      <c r="K892">
        <v>0.21</v>
      </c>
      <c r="L892" t="s">
        <v>25</v>
      </c>
      <c r="M892" t="s">
        <v>29</v>
      </c>
      <c r="N892" t="s">
        <v>100</v>
      </c>
    </row>
    <row r="893" spans="1:14" x14ac:dyDescent="0.3">
      <c r="A893">
        <v>1088</v>
      </c>
      <c r="B893" s="13">
        <v>45236</v>
      </c>
      <c r="C893" t="s">
        <v>18</v>
      </c>
      <c r="D893" t="s">
        <v>27</v>
      </c>
      <c r="E893">
        <v>6772.54</v>
      </c>
      <c r="F893">
        <v>8</v>
      </c>
      <c r="G893" t="s">
        <v>22</v>
      </c>
      <c r="H893">
        <v>1786.35</v>
      </c>
      <c r="I893">
        <v>1935.29</v>
      </c>
      <c r="J893" t="s">
        <v>15</v>
      </c>
      <c r="K893">
        <v>0.04</v>
      </c>
      <c r="L893" t="s">
        <v>16</v>
      </c>
      <c r="M893" t="s">
        <v>29</v>
      </c>
      <c r="N893" t="s">
        <v>58</v>
      </c>
    </row>
    <row r="894" spans="1:14" x14ac:dyDescent="0.3">
      <c r="A894">
        <v>1069</v>
      </c>
      <c r="B894" s="13">
        <v>45012</v>
      </c>
      <c r="C894" t="s">
        <v>18</v>
      </c>
      <c r="D894" t="s">
        <v>13</v>
      </c>
      <c r="E894">
        <v>719.39</v>
      </c>
      <c r="F894">
        <v>47</v>
      </c>
      <c r="G894" t="s">
        <v>28</v>
      </c>
      <c r="H894">
        <v>4171.83</v>
      </c>
      <c r="I894">
        <v>4320.93</v>
      </c>
      <c r="J894" t="s">
        <v>15</v>
      </c>
      <c r="K894">
        <v>7.0000000000000007E-2</v>
      </c>
      <c r="L894" t="s">
        <v>16</v>
      </c>
      <c r="M894" t="s">
        <v>29</v>
      </c>
      <c r="N894" t="s">
        <v>80</v>
      </c>
    </row>
    <row r="895" spans="1:14" x14ac:dyDescent="0.3">
      <c r="A895">
        <v>1034</v>
      </c>
      <c r="B895" s="13">
        <v>45018</v>
      </c>
      <c r="C895" t="s">
        <v>31</v>
      </c>
      <c r="D895" t="s">
        <v>19</v>
      </c>
      <c r="E895">
        <v>2184.02</v>
      </c>
      <c r="F895">
        <v>7</v>
      </c>
      <c r="G895" t="s">
        <v>28</v>
      </c>
      <c r="H895">
        <v>2492.36</v>
      </c>
      <c r="I895" s="14" t="s">
        <v>102</v>
      </c>
      <c r="J895" t="s">
        <v>20</v>
      </c>
      <c r="K895">
        <v>0.11</v>
      </c>
      <c r="L895" t="s">
        <v>16</v>
      </c>
      <c r="M895" t="s">
        <v>29</v>
      </c>
      <c r="N895" t="s">
        <v>88</v>
      </c>
    </row>
    <row r="896" spans="1:14" x14ac:dyDescent="0.3">
      <c r="A896">
        <v>1006</v>
      </c>
      <c r="B896" s="13">
        <v>45074</v>
      </c>
      <c r="C896" t="s">
        <v>23</v>
      </c>
      <c r="D896" t="s">
        <v>30</v>
      </c>
      <c r="E896">
        <v>8109.33</v>
      </c>
      <c r="F896">
        <v>11</v>
      </c>
      <c r="G896" t="s">
        <v>22</v>
      </c>
      <c r="H896">
        <v>4562.58</v>
      </c>
      <c r="I896">
        <v>4925.17</v>
      </c>
      <c r="J896" t="s">
        <v>15</v>
      </c>
      <c r="K896">
        <v>0.23</v>
      </c>
      <c r="L896" t="s">
        <v>16</v>
      </c>
      <c r="M896" t="s">
        <v>17</v>
      </c>
      <c r="N896" t="s">
        <v>60</v>
      </c>
    </row>
    <row r="897" spans="1:14" x14ac:dyDescent="0.3">
      <c r="A897">
        <v>1053</v>
      </c>
      <c r="B897" s="13">
        <v>45087</v>
      </c>
      <c r="C897" t="s">
        <v>31</v>
      </c>
      <c r="D897" t="s">
        <v>13</v>
      </c>
      <c r="E897">
        <v>1554.53</v>
      </c>
      <c r="F897">
        <v>39</v>
      </c>
      <c r="G897" t="s">
        <v>24</v>
      </c>
      <c r="H897">
        <v>4643.67</v>
      </c>
      <c r="I897">
        <v>4829.5200000000004</v>
      </c>
      <c r="J897" t="s">
        <v>20</v>
      </c>
      <c r="K897">
        <v>0.17</v>
      </c>
      <c r="L897" t="s">
        <v>25</v>
      </c>
      <c r="M897" t="s">
        <v>29</v>
      </c>
      <c r="N897" t="s">
        <v>67</v>
      </c>
    </row>
    <row r="898" spans="1:14" x14ac:dyDescent="0.3">
      <c r="A898">
        <v>1066</v>
      </c>
      <c r="B898" s="13">
        <v>45128</v>
      </c>
      <c r="C898" t="s">
        <v>31</v>
      </c>
      <c r="D898" t="s">
        <v>13</v>
      </c>
      <c r="E898">
        <v>3492.19</v>
      </c>
      <c r="F898">
        <v>4</v>
      </c>
      <c r="G898" t="s">
        <v>24</v>
      </c>
      <c r="H898">
        <v>868.83</v>
      </c>
      <c r="I898">
        <v>1177.75</v>
      </c>
      <c r="J898" t="s">
        <v>20</v>
      </c>
      <c r="K898">
        <v>0.21</v>
      </c>
      <c r="L898" t="s">
        <v>21</v>
      </c>
      <c r="M898" t="s">
        <v>17</v>
      </c>
      <c r="N898" t="s">
        <v>67</v>
      </c>
    </row>
    <row r="899" spans="1:14" x14ac:dyDescent="0.3">
      <c r="A899">
        <v>1077</v>
      </c>
      <c r="B899" s="13">
        <v>45168</v>
      </c>
      <c r="C899" t="s">
        <v>26</v>
      </c>
      <c r="D899" t="s">
        <v>19</v>
      </c>
      <c r="E899">
        <v>8660.1200000000008</v>
      </c>
      <c r="F899">
        <v>25</v>
      </c>
      <c r="G899" t="s">
        <v>28</v>
      </c>
      <c r="H899">
        <v>61.5</v>
      </c>
      <c r="I899" s="14" t="s">
        <v>101</v>
      </c>
      <c r="J899" t="s">
        <v>15</v>
      </c>
      <c r="K899">
        <v>0.17</v>
      </c>
      <c r="L899" t="s">
        <v>21</v>
      </c>
      <c r="M899" t="s">
        <v>29</v>
      </c>
      <c r="N899" t="s">
        <v>76</v>
      </c>
    </row>
    <row r="900" spans="1:14" x14ac:dyDescent="0.3">
      <c r="A900">
        <v>1043</v>
      </c>
      <c r="B900" s="13">
        <v>45279</v>
      </c>
      <c r="C900" t="s">
        <v>12</v>
      </c>
      <c r="D900" t="s">
        <v>27</v>
      </c>
      <c r="E900">
        <v>1633.76</v>
      </c>
      <c r="F900">
        <v>12</v>
      </c>
      <c r="G900" t="s">
        <v>28</v>
      </c>
      <c r="H900">
        <v>4920.46</v>
      </c>
      <c r="I900">
        <v>5079.68</v>
      </c>
      <c r="J900" t="s">
        <v>15</v>
      </c>
      <c r="K900">
        <v>0.21</v>
      </c>
      <c r="L900" t="s">
        <v>21</v>
      </c>
      <c r="M900" t="s">
        <v>17</v>
      </c>
      <c r="N900" t="s">
        <v>100</v>
      </c>
    </row>
    <row r="901" spans="1:14" x14ac:dyDescent="0.3">
      <c r="A901">
        <v>1075</v>
      </c>
      <c r="B901" s="13">
        <v>44928</v>
      </c>
      <c r="C901" t="s">
        <v>18</v>
      </c>
      <c r="D901" t="s">
        <v>19</v>
      </c>
      <c r="E901">
        <v>919.09</v>
      </c>
      <c r="F901">
        <v>26</v>
      </c>
      <c r="G901" t="s">
        <v>28</v>
      </c>
      <c r="H901">
        <v>4535.38</v>
      </c>
      <c r="I901">
        <v>4557.5600000000004</v>
      </c>
      <c r="J901" t="s">
        <v>15</v>
      </c>
      <c r="K901">
        <v>0</v>
      </c>
      <c r="L901" t="s">
        <v>21</v>
      </c>
      <c r="M901" t="s">
        <v>29</v>
      </c>
      <c r="N901" t="s">
        <v>56</v>
      </c>
    </row>
    <row r="902" spans="1:14" x14ac:dyDescent="0.3">
      <c r="A902">
        <v>1023</v>
      </c>
      <c r="B902" s="13">
        <v>45151</v>
      </c>
      <c r="C902" t="s">
        <v>23</v>
      </c>
      <c r="D902" t="s">
        <v>13</v>
      </c>
      <c r="E902">
        <v>4896.93</v>
      </c>
      <c r="F902">
        <v>38</v>
      </c>
      <c r="G902" t="s">
        <v>14</v>
      </c>
      <c r="H902">
        <v>324.45</v>
      </c>
      <c r="I902">
        <v>336.37</v>
      </c>
      <c r="J902" t="s">
        <v>15</v>
      </c>
      <c r="K902">
        <v>0.28000000000000003</v>
      </c>
      <c r="L902" t="s">
        <v>21</v>
      </c>
      <c r="M902" t="s">
        <v>17</v>
      </c>
      <c r="N902" t="s">
        <v>69</v>
      </c>
    </row>
    <row r="903" spans="1:14" x14ac:dyDescent="0.3">
      <c r="A903">
        <v>1055</v>
      </c>
      <c r="B903" s="13">
        <v>45215</v>
      </c>
      <c r="C903" t="s">
        <v>18</v>
      </c>
      <c r="D903" t="s">
        <v>13</v>
      </c>
      <c r="E903">
        <v>3093.95</v>
      </c>
      <c r="F903">
        <v>46</v>
      </c>
      <c r="G903" t="s">
        <v>14</v>
      </c>
      <c r="H903">
        <v>4173.5200000000004</v>
      </c>
      <c r="I903">
        <v>4294.8500000000004</v>
      </c>
      <c r="J903" t="s">
        <v>20</v>
      </c>
      <c r="K903">
        <v>0.03</v>
      </c>
      <c r="L903" t="s">
        <v>25</v>
      </c>
      <c r="M903" t="s">
        <v>17</v>
      </c>
      <c r="N903" t="s">
        <v>80</v>
      </c>
    </row>
    <row r="904" spans="1:14" x14ac:dyDescent="0.3">
      <c r="A904">
        <v>1080</v>
      </c>
      <c r="B904" s="13">
        <v>45159</v>
      </c>
      <c r="C904" t="s">
        <v>18</v>
      </c>
      <c r="D904" t="s">
        <v>27</v>
      </c>
      <c r="E904">
        <v>5677.74</v>
      </c>
      <c r="F904">
        <v>12</v>
      </c>
      <c r="G904" t="s">
        <v>28</v>
      </c>
      <c r="H904">
        <v>2316.13</v>
      </c>
      <c r="I904">
        <v>2525.27</v>
      </c>
      <c r="J904" t="s">
        <v>20</v>
      </c>
      <c r="K904">
        <v>0.12</v>
      </c>
      <c r="L904" t="s">
        <v>21</v>
      </c>
      <c r="M904" t="s">
        <v>17</v>
      </c>
      <c r="N904" t="s">
        <v>58</v>
      </c>
    </row>
    <row r="905" spans="1:14" x14ac:dyDescent="0.3">
      <c r="A905">
        <v>1095</v>
      </c>
      <c r="B905" s="13">
        <v>45003</v>
      </c>
      <c r="C905" t="s">
        <v>12</v>
      </c>
      <c r="D905" t="s">
        <v>27</v>
      </c>
      <c r="E905">
        <v>8057.67</v>
      </c>
      <c r="F905">
        <v>43</v>
      </c>
      <c r="G905" t="s">
        <v>24</v>
      </c>
      <c r="H905">
        <v>1331.86</v>
      </c>
      <c r="I905">
        <v>1758.98</v>
      </c>
      <c r="J905" t="s">
        <v>20</v>
      </c>
      <c r="K905">
        <v>0.23</v>
      </c>
      <c r="L905" t="s">
        <v>25</v>
      </c>
      <c r="M905" t="s">
        <v>17</v>
      </c>
      <c r="N905" t="s">
        <v>100</v>
      </c>
    </row>
    <row r="906" spans="1:14" x14ac:dyDescent="0.3">
      <c r="A906">
        <v>1075</v>
      </c>
      <c r="B906" s="13">
        <v>45042</v>
      </c>
      <c r="C906" t="s">
        <v>18</v>
      </c>
      <c r="D906" t="s">
        <v>27</v>
      </c>
      <c r="E906">
        <v>1457.77</v>
      </c>
      <c r="F906">
        <v>37</v>
      </c>
      <c r="G906" t="s">
        <v>28</v>
      </c>
      <c r="H906">
        <v>4399.8</v>
      </c>
      <c r="I906">
        <v>4801.0600000000004</v>
      </c>
      <c r="J906" t="s">
        <v>15</v>
      </c>
      <c r="K906">
        <v>0.13</v>
      </c>
      <c r="L906" t="s">
        <v>25</v>
      </c>
      <c r="M906" t="s">
        <v>17</v>
      </c>
      <c r="N906" t="s">
        <v>58</v>
      </c>
    </row>
    <row r="907" spans="1:14" x14ac:dyDescent="0.3">
      <c r="A907">
        <v>1016</v>
      </c>
      <c r="B907" s="13">
        <v>45080</v>
      </c>
      <c r="C907" t="s">
        <v>18</v>
      </c>
      <c r="D907" t="s">
        <v>19</v>
      </c>
      <c r="E907">
        <v>5848.92</v>
      </c>
      <c r="F907">
        <v>46</v>
      </c>
      <c r="G907" t="s">
        <v>14</v>
      </c>
      <c r="H907">
        <v>1023.5</v>
      </c>
      <c r="I907">
        <v>1164.4100000000001</v>
      </c>
      <c r="J907" t="s">
        <v>20</v>
      </c>
      <c r="K907">
        <v>0.28000000000000003</v>
      </c>
      <c r="L907" t="s">
        <v>21</v>
      </c>
      <c r="M907" t="s">
        <v>17</v>
      </c>
      <c r="N907" t="s">
        <v>56</v>
      </c>
    </row>
    <row r="908" spans="1:14" x14ac:dyDescent="0.3">
      <c r="A908">
        <v>1008</v>
      </c>
      <c r="B908" s="13">
        <v>45029</v>
      </c>
      <c r="C908" t="s">
        <v>31</v>
      </c>
      <c r="D908" t="s">
        <v>27</v>
      </c>
      <c r="E908">
        <v>5104.54</v>
      </c>
      <c r="F908">
        <v>24</v>
      </c>
      <c r="G908" t="s">
        <v>24</v>
      </c>
      <c r="H908">
        <v>4739.13</v>
      </c>
      <c r="I908">
        <v>4868.95</v>
      </c>
      <c r="J908" t="s">
        <v>15</v>
      </c>
      <c r="K908">
        <v>0.14000000000000001</v>
      </c>
      <c r="L908" t="s">
        <v>21</v>
      </c>
      <c r="M908" t="s">
        <v>17</v>
      </c>
      <c r="N908" t="s">
        <v>86</v>
      </c>
    </row>
    <row r="909" spans="1:14" x14ac:dyDescent="0.3">
      <c r="A909">
        <v>1004</v>
      </c>
      <c r="B909" s="13">
        <v>45120</v>
      </c>
      <c r="C909" t="s">
        <v>12</v>
      </c>
      <c r="D909" t="s">
        <v>13</v>
      </c>
      <c r="E909">
        <v>1526.38</v>
      </c>
      <c r="F909">
        <v>16</v>
      </c>
      <c r="G909" t="s">
        <v>14</v>
      </c>
      <c r="H909">
        <v>1067.83</v>
      </c>
      <c r="I909">
        <v>1189.22</v>
      </c>
      <c r="J909" t="s">
        <v>20</v>
      </c>
      <c r="K909">
        <v>0.26</v>
      </c>
      <c r="L909" t="s">
        <v>21</v>
      </c>
      <c r="M909" t="s">
        <v>17</v>
      </c>
      <c r="N909" t="s">
        <v>83</v>
      </c>
    </row>
    <row r="910" spans="1:14" x14ac:dyDescent="0.3">
      <c r="A910">
        <v>1004</v>
      </c>
      <c r="B910" s="13">
        <v>45092</v>
      </c>
      <c r="C910" t="s">
        <v>26</v>
      </c>
      <c r="D910" t="s">
        <v>13</v>
      </c>
      <c r="E910">
        <v>6277.59</v>
      </c>
      <c r="F910">
        <v>13</v>
      </c>
      <c r="G910" t="s">
        <v>24</v>
      </c>
      <c r="H910">
        <v>3087.73</v>
      </c>
      <c r="I910">
        <v>3263.96</v>
      </c>
      <c r="J910" t="s">
        <v>15</v>
      </c>
      <c r="K910">
        <v>0.24</v>
      </c>
      <c r="L910" t="s">
        <v>16</v>
      </c>
      <c r="M910" t="s">
        <v>17</v>
      </c>
      <c r="N910" t="s">
        <v>55</v>
      </c>
    </row>
    <row r="911" spans="1:14" x14ac:dyDescent="0.3">
      <c r="A911">
        <v>1056</v>
      </c>
      <c r="B911" s="13">
        <v>45285</v>
      </c>
      <c r="C911" t="s">
        <v>23</v>
      </c>
      <c r="D911" t="s">
        <v>30</v>
      </c>
      <c r="E911">
        <v>2809.04</v>
      </c>
      <c r="F911">
        <v>25</v>
      </c>
      <c r="G911" t="s">
        <v>14</v>
      </c>
      <c r="H911">
        <v>1154.28</v>
      </c>
      <c r="I911">
        <v>1408.4</v>
      </c>
      <c r="J911" t="s">
        <v>20</v>
      </c>
      <c r="K911">
        <v>0.28999999999999998</v>
      </c>
      <c r="L911" t="s">
        <v>25</v>
      </c>
      <c r="M911" t="s">
        <v>17</v>
      </c>
      <c r="N911" t="s">
        <v>60</v>
      </c>
    </row>
    <row r="912" spans="1:14" x14ac:dyDescent="0.3">
      <c r="A912">
        <v>1025</v>
      </c>
      <c r="B912" s="13">
        <v>45016</v>
      </c>
      <c r="C912" t="s">
        <v>18</v>
      </c>
      <c r="D912" t="s">
        <v>19</v>
      </c>
      <c r="E912">
        <v>4929.5600000000004</v>
      </c>
      <c r="F912">
        <v>4</v>
      </c>
      <c r="G912" t="s">
        <v>24</v>
      </c>
      <c r="H912">
        <v>2751.06</v>
      </c>
      <c r="I912" s="14" t="s">
        <v>99</v>
      </c>
      <c r="J912" t="s">
        <v>20</v>
      </c>
      <c r="K912">
        <v>0.28000000000000003</v>
      </c>
      <c r="L912" t="s">
        <v>21</v>
      </c>
      <c r="M912" t="s">
        <v>29</v>
      </c>
      <c r="N912" t="s">
        <v>56</v>
      </c>
    </row>
    <row r="913" spans="1:14" x14ac:dyDescent="0.3">
      <c r="A913">
        <v>1067</v>
      </c>
      <c r="B913" s="13">
        <v>45100</v>
      </c>
      <c r="C913" t="s">
        <v>23</v>
      </c>
      <c r="D913" t="s">
        <v>30</v>
      </c>
      <c r="E913">
        <v>914.5</v>
      </c>
      <c r="F913">
        <v>11</v>
      </c>
      <c r="G913" t="s">
        <v>24</v>
      </c>
      <c r="H913">
        <v>3435.68</v>
      </c>
      <c r="I913" s="14" t="s">
        <v>98</v>
      </c>
      <c r="J913" t="s">
        <v>15</v>
      </c>
      <c r="K913">
        <v>0.27</v>
      </c>
      <c r="L913" t="s">
        <v>16</v>
      </c>
      <c r="M913" t="s">
        <v>17</v>
      </c>
      <c r="N913" t="s">
        <v>60</v>
      </c>
    </row>
    <row r="914" spans="1:14" x14ac:dyDescent="0.3">
      <c r="A914">
        <v>1096</v>
      </c>
      <c r="B914" s="13">
        <v>45048</v>
      </c>
      <c r="C914" t="s">
        <v>26</v>
      </c>
      <c r="D914" t="s">
        <v>13</v>
      </c>
      <c r="E914">
        <v>4649.88</v>
      </c>
      <c r="F914">
        <v>32</v>
      </c>
      <c r="G914" t="s">
        <v>24</v>
      </c>
      <c r="H914">
        <v>991.63</v>
      </c>
      <c r="I914">
        <v>1065.55</v>
      </c>
      <c r="J914" t="s">
        <v>20</v>
      </c>
      <c r="K914">
        <v>0.22</v>
      </c>
      <c r="L914" t="s">
        <v>25</v>
      </c>
      <c r="M914" t="s">
        <v>17</v>
      </c>
      <c r="N914" t="s">
        <v>55</v>
      </c>
    </row>
    <row r="915" spans="1:14" x14ac:dyDescent="0.3">
      <c r="A915">
        <v>1067</v>
      </c>
      <c r="B915" s="13">
        <v>45069</v>
      </c>
      <c r="C915" t="s">
        <v>23</v>
      </c>
      <c r="D915" t="s">
        <v>30</v>
      </c>
      <c r="E915">
        <v>3133.99</v>
      </c>
      <c r="F915">
        <v>49</v>
      </c>
      <c r="G915" t="s">
        <v>24</v>
      </c>
      <c r="H915">
        <v>2628.38</v>
      </c>
      <c r="I915">
        <v>2644.54</v>
      </c>
      <c r="J915" t="s">
        <v>20</v>
      </c>
      <c r="K915">
        <v>0.11</v>
      </c>
      <c r="L915" t="s">
        <v>16</v>
      </c>
      <c r="M915" t="s">
        <v>29</v>
      </c>
      <c r="N915" t="s">
        <v>60</v>
      </c>
    </row>
    <row r="916" spans="1:14" x14ac:dyDescent="0.3">
      <c r="A916">
        <v>1027</v>
      </c>
      <c r="B916" s="13">
        <v>45032</v>
      </c>
      <c r="C916" t="s">
        <v>26</v>
      </c>
      <c r="D916" t="s">
        <v>13</v>
      </c>
      <c r="E916">
        <v>8241.57</v>
      </c>
      <c r="F916">
        <v>7</v>
      </c>
      <c r="G916" t="s">
        <v>22</v>
      </c>
      <c r="H916">
        <v>2371.85</v>
      </c>
      <c r="I916">
        <v>2457.29</v>
      </c>
      <c r="J916" t="s">
        <v>15</v>
      </c>
      <c r="K916">
        <v>0.03</v>
      </c>
      <c r="L916" t="s">
        <v>16</v>
      </c>
      <c r="M916" t="s">
        <v>17</v>
      </c>
      <c r="N916" t="s">
        <v>55</v>
      </c>
    </row>
    <row r="917" spans="1:14" x14ac:dyDescent="0.3">
      <c r="A917">
        <v>1093</v>
      </c>
      <c r="B917" s="13">
        <v>45231</v>
      </c>
      <c r="C917" t="s">
        <v>31</v>
      </c>
      <c r="D917" t="s">
        <v>30</v>
      </c>
      <c r="E917">
        <v>664.09</v>
      </c>
      <c r="F917">
        <v>46</v>
      </c>
      <c r="G917" t="s">
        <v>14</v>
      </c>
      <c r="H917">
        <v>401.64</v>
      </c>
      <c r="I917">
        <v>757.26</v>
      </c>
      <c r="J917" t="s">
        <v>15</v>
      </c>
      <c r="K917">
        <v>0.21</v>
      </c>
      <c r="L917" t="s">
        <v>21</v>
      </c>
      <c r="M917" t="s">
        <v>17</v>
      </c>
      <c r="N917" t="s">
        <v>62</v>
      </c>
    </row>
    <row r="918" spans="1:14" x14ac:dyDescent="0.3">
      <c r="A918">
        <v>1032</v>
      </c>
      <c r="B918" s="13">
        <v>45286</v>
      </c>
      <c r="C918" t="s">
        <v>18</v>
      </c>
      <c r="D918" t="s">
        <v>27</v>
      </c>
      <c r="E918">
        <v>4244.21</v>
      </c>
      <c r="F918">
        <v>11</v>
      </c>
      <c r="G918" t="s">
        <v>14</v>
      </c>
      <c r="H918">
        <v>4100.62</v>
      </c>
      <c r="I918">
        <v>4230</v>
      </c>
      <c r="J918" t="s">
        <v>15</v>
      </c>
      <c r="K918">
        <v>0.28999999999999998</v>
      </c>
      <c r="L918" t="s">
        <v>25</v>
      </c>
      <c r="M918" t="s">
        <v>29</v>
      </c>
      <c r="N918" t="s">
        <v>58</v>
      </c>
    </row>
    <row r="919" spans="1:14" x14ac:dyDescent="0.3">
      <c r="A919">
        <v>1050</v>
      </c>
      <c r="B919" s="13">
        <v>45243</v>
      </c>
      <c r="C919" t="s">
        <v>26</v>
      </c>
      <c r="D919" t="s">
        <v>30</v>
      </c>
      <c r="E919">
        <v>4638.47</v>
      </c>
      <c r="F919">
        <v>28</v>
      </c>
      <c r="G919" t="s">
        <v>22</v>
      </c>
      <c r="H919">
        <v>1711.63</v>
      </c>
      <c r="I919" s="14" t="s">
        <v>97</v>
      </c>
      <c r="J919" t="s">
        <v>15</v>
      </c>
      <c r="K919">
        <v>0.22</v>
      </c>
      <c r="L919" t="s">
        <v>16</v>
      </c>
      <c r="M919" t="s">
        <v>29</v>
      </c>
      <c r="N919" t="s">
        <v>71</v>
      </c>
    </row>
    <row r="920" spans="1:14" x14ac:dyDescent="0.3">
      <c r="A920">
        <v>1061</v>
      </c>
      <c r="B920" s="13">
        <v>45049</v>
      </c>
      <c r="C920" t="s">
        <v>23</v>
      </c>
      <c r="D920" t="s">
        <v>27</v>
      </c>
      <c r="E920">
        <v>7277.56</v>
      </c>
      <c r="F920">
        <v>41</v>
      </c>
      <c r="G920" t="s">
        <v>24</v>
      </c>
      <c r="H920">
        <v>2894.18</v>
      </c>
      <c r="I920">
        <v>3193.92</v>
      </c>
      <c r="J920" t="s">
        <v>15</v>
      </c>
      <c r="K920">
        <v>0.28000000000000003</v>
      </c>
      <c r="L920" t="s">
        <v>25</v>
      </c>
      <c r="M920" t="s">
        <v>17</v>
      </c>
      <c r="N920" t="s">
        <v>96</v>
      </c>
    </row>
    <row r="921" spans="1:14" x14ac:dyDescent="0.3">
      <c r="A921">
        <v>1051</v>
      </c>
      <c r="B921" s="13">
        <v>44935</v>
      </c>
      <c r="C921" t="s">
        <v>18</v>
      </c>
      <c r="D921" t="s">
        <v>27</v>
      </c>
      <c r="E921">
        <v>5785.45</v>
      </c>
      <c r="F921">
        <v>23</v>
      </c>
      <c r="G921" t="s">
        <v>24</v>
      </c>
      <c r="H921">
        <v>2598.1799999999998</v>
      </c>
      <c r="I921">
        <v>3042.73</v>
      </c>
      <c r="J921" t="s">
        <v>20</v>
      </c>
      <c r="K921">
        <v>0.24</v>
      </c>
      <c r="L921" t="s">
        <v>21</v>
      </c>
      <c r="M921" t="s">
        <v>29</v>
      </c>
      <c r="N921" t="s">
        <v>58</v>
      </c>
    </row>
    <row r="922" spans="1:14" x14ac:dyDescent="0.3">
      <c r="A922">
        <v>1019</v>
      </c>
      <c r="B922" s="13">
        <v>45188</v>
      </c>
      <c r="C922" t="s">
        <v>31</v>
      </c>
      <c r="D922" t="s">
        <v>19</v>
      </c>
      <c r="E922">
        <v>6705.4</v>
      </c>
      <c r="F922">
        <v>45</v>
      </c>
      <c r="G922" t="s">
        <v>14</v>
      </c>
      <c r="H922">
        <v>2590.64</v>
      </c>
      <c r="I922">
        <v>3036.18</v>
      </c>
      <c r="J922" t="s">
        <v>15</v>
      </c>
      <c r="K922">
        <v>0.05</v>
      </c>
      <c r="L922" t="s">
        <v>25</v>
      </c>
      <c r="M922" t="s">
        <v>17</v>
      </c>
      <c r="N922" t="s">
        <v>88</v>
      </c>
    </row>
    <row r="923" spans="1:14" x14ac:dyDescent="0.3">
      <c r="A923">
        <v>1021</v>
      </c>
      <c r="B923" s="13">
        <v>44999</v>
      </c>
      <c r="C923" t="s">
        <v>18</v>
      </c>
      <c r="D923" t="s">
        <v>27</v>
      </c>
      <c r="E923">
        <v>7792.79</v>
      </c>
      <c r="F923">
        <v>23</v>
      </c>
      <c r="G923" t="s">
        <v>22</v>
      </c>
      <c r="H923">
        <v>580.75</v>
      </c>
      <c r="I923" s="14" t="s">
        <v>95</v>
      </c>
      <c r="J923" t="s">
        <v>20</v>
      </c>
      <c r="K923">
        <v>7.0000000000000007E-2</v>
      </c>
      <c r="L923" t="s">
        <v>16</v>
      </c>
      <c r="M923" t="s">
        <v>17</v>
      </c>
      <c r="N923" t="s">
        <v>58</v>
      </c>
    </row>
    <row r="924" spans="1:14" x14ac:dyDescent="0.3">
      <c r="A924">
        <v>1005</v>
      </c>
      <c r="B924" s="13">
        <v>45285</v>
      </c>
      <c r="C924" t="s">
        <v>26</v>
      </c>
      <c r="D924" t="s">
        <v>27</v>
      </c>
      <c r="E924">
        <v>8635.81</v>
      </c>
      <c r="F924">
        <v>28</v>
      </c>
      <c r="G924" t="s">
        <v>24</v>
      </c>
      <c r="H924">
        <v>2146.2399999999998</v>
      </c>
      <c r="I924">
        <v>2173.4699999999998</v>
      </c>
      <c r="J924" t="s">
        <v>20</v>
      </c>
      <c r="K924">
        <v>0.1</v>
      </c>
      <c r="L924" t="s">
        <v>16</v>
      </c>
      <c r="M924" t="s">
        <v>17</v>
      </c>
      <c r="N924" t="s">
        <v>63</v>
      </c>
    </row>
    <row r="925" spans="1:14" x14ac:dyDescent="0.3">
      <c r="A925">
        <v>1082</v>
      </c>
      <c r="B925" s="13">
        <v>45149</v>
      </c>
      <c r="C925" t="s">
        <v>31</v>
      </c>
      <c r="D925" t="s">
        <v>30</v>
      </c>
      <c r="E925">
        <v>3207.37</v>
      </c>
      <c r="F925">
        <v>43</v>
      </c>
      <c r="G925" t="s">
        <v>24</v>
      </c>
      <c r="H925">
        <v>2289.2199999999998</v>
      </c>
      <c r="I925">
        <v>2581</v>
      </c>
      <c r="J925" t="s">
        <v>15</v>
      </c>
      <c r="K925">
        <v>0.05</v>
      </c>
      <c r="L925" t="s">
        <v>25</v>
      </c>
      <c r="M925" t="s">
        <v>29</v>
      </c>
      <c r="N925" t="s">
        <v>62</v>
      </c>
    </row>
    <row r="926" spans="1:14" x14ac:dyDescent="0.3">
      <c r="A926">
        <v>1092</v>
      </c>
      <c r="B926" s="13">
        <v>44967</v>
      </c>
      <c r="C926" t="s">
        <v>23</v>
      </c>
      <c r="D926" t="s">
        <v>13</v>
      </c>
      <c r="E926">
        <v>5426.42</v>
      </c>
      <c r="F926">
        <v>47</v>
      </c>
      <c r="G926" t="s">
        <v>24</v>
      </c>
      <c r="H926">
        <v>3681.53</v>
      </c>
      <c r="I926">
        <v>4076.96</v>
      </c>
      <c r="J926" t="s">
        <v>20</v>
      </c>
      <c r="K926">
        <v>0.17</v>
      </c>
      <c r="L926" t="s">
        <v>16</v>
      </c>
      <c r="M926" t="s">
        <v>17</v>
      </c>
      <c r="N926" t="s">
        <v>69</v>
      </c>
    </row>
    <row r="927" spans="1:14" x14ac:dyDescent="0.3">
      <c r="A927">
        <v>1042</v>
      </c>
      <c r="B927" s="13">
        <v>45130</v>
      </c>
      <c r="C927" t="s">
        <v>31</v>
      </c>
      <c r="D927" t="s">
        <v>19</v>
      </c>
      <c r="E927">
        <v>8417.07</v>
      </c>
      <c r="F927">
        <v>26</v>
      </c>
      <c r="G927" t="s">
        <v>28</v>
      </c>
      <c r="H927">
        <v>4208.09</v>
      </c>
      <c r="I927">
        <v>4226.5600000000004</v>
      </c>
      <c r="J927" t="s">
        <v>20</v>
      </c>
      <c r="K927">
        <v>0.28999999999999998</v>
      </c>
      <c r="L927" t="s">
        <v>16</v>
      </c>
      <c r="M927" t="s">
        <v>17</v>
      </c>
      <c r="N927" t="s">
        <v>88</v>
      </c>
    </row>
    <row r="928" spans="1:14" x14ac:dyDescent="0.3">
      <c r="A928">
        <v>1061</v>
      </c>
      <c r="B928" s="13">
        <v>45190</v>
      </c>
      <c r="C928" t="s">
        <v>31</v>
      </c>
      <c r="D928" t="s">
        <v>27</v>
      </c>
      <c r="E928">
        <v>9895.57</v>
      </c>
      <c r="F928">
        <v>25</v>
      </c>
      <c r="G928" t="s">
        <v>22</v>
      </c>
      <c r="H928">
        <v>2747.66</v>
      </c>
      <c r="I928" s="14" t="s">
        <v>94</v>
      </c>
      <c r="J928" t="s">
        <v>15</v>
      </c>
      <c r="K928">
        <v>0.23</v>
      </c>
      <c r="L928" t="s">
        <v>16</v>
      </c>
      <c r="M928" t="s">
        <v>29</v>
      </c>
      <c r="N928" t="s">
        <v>86</v>
      </c>
    </row>
    <row r="929" spans="1:14" x14ac:dyDescent="0.3">
      <c r="A929">
        <v>1022</v>
      </c>
      <c r="B929" s="13">
        <v>45254</v>
      </c>
      <c r="C929" t="s">
        <v>12</v>
      </c>
      <c r="D929" t="s">
        <v>19</v>
      </c>
      <c r="E929">
        <v>8906.24</v>
      </c>
      <c r="F929">
        <v>29</v>
      </c>
      <c r="G929" t="s">
        <v>24</v>
      </c>
      <c r="H929">
        <v>479.58</v>
      </c>
      <c r="I929">
        <v>909.88</v>
      </c>
      <c r="J929" t="s">
        <v>20</v>
      </c>
      <c r="K929">
        <v>0.13</v>
      </c>
      <c r="L929" t="s">
        <v>21</v>
      </c>
      <c r="M929" t="s">
        <v>17</v>
      </c>
      <c r="N929" t="s">
        <v>74</v>
      </c>
    </row>
    <row r="930" spans="1:14" x14ac:dyDescent="0.3">
      <c r="A930">
        <v>1021</v>
      </c>
      <c r="B930" s="13">
        <v>45104</v>
      </c>
      <c r="C930" t="s">
        <v>31</v>
      </c>
      <c r="D930" t="s">
        <v>30</v>
      </c>
      <c r="E930">
        <v>3777.53</v>
      </c>
      <c r="F930">
        <v>19</v>
      </c>
      <c r="G930" t="s">
        <v>28</v>
      </c>
      <c r="H930">
        <v>1222.4000000000001</v>
      </c>
      <c r="I930">
        <v>1464.71</v>
      </c>
      <c r="J930" t="s">
        <v>15</v>
      </c>
      <c r="K930">
        <v>0</v>
      </c>
      <c r="L930" t="s">
        <v>21</v>
      </c>
      <c r="M930" t="s">
        <v>17</v>
      </c>
      <c r="N930" t="s">
        <v>62</v>
      </c>
    </row>
    <row r="931" spans="1:14" x14ac:dyDescent="0.3">
      <c r="A931">
        <v>1070</v>
      </c>
      <c r="B931" s="13">
        <v>45274</v>
      </c>
      <c r="C931" t="s">
        <v>31</v>
      </c>
      <c r="D931" t="s">
        <v>27</v>
      </c>
      <c r="E931">
        <v>2032.15</v>
      </c>
      <c r="F931">
        <v>33</v>
      </c>
      <c r="G931" t="s">
        <v>22</v>
      </c>
      <c r="H931">
        <v>866.42</v>
      </c>
      <c r="I931">
        <v>878.43</v>
      </c>
      <c r="J931" t="s">
        <v>15</v>
      </c>
      <c r="K931">
        <v>0.09</v>
      </c>
      <c r="L931" t="s">
        <v>16</v>
      </c>
      <c r="M931" t="s">
        <v>17</v>
      </c>
      <c r="N931" t="s">
        <v>86</v>
      </c>
    </row>
    <row r="932" spans="1:14" x14ac:dyDescent="0.3">
      <c r="A932">
        <v>1001</v>
      </c>
      <c r="B932" s="13">
        <v>45244</v>
      </c>
      <c r="C932" t="s">
        <v>18</v>
      </c>
      <c r="D932" t="s">
        <v>30</v>
      </c>
      <c r="E932">
        <v>4944.99</v>
      </c>
      <c r="F932">
        <v>36</v>
      </c>
      <c r="G932" t="s">
        <v>24</v>
      </c>
      <c r="H932">
        <v>666.84</v>
      </c>
      <c r="I932">
        <v>682.24</v>
      </c>
      <c r="J932" t="s">
        <v>15</v>
      </c>
      <c r="K932">
        <v>0.16</v>
      </c>
      <c r="L932" t="s">
        <v>25</v>
      </c>
      <c r="M932" t="s">
        <v>17</v>
      </c>
      <c r="N932" t="s">
        <v>64</v>
      </c>
    </row>
    <row r="933" spans="1:14" x14ac:dyDescent="0.3">
      <c r="A933">
        <v>1005</v>
      </c>
      <c r="B933" s="13">
        <v>45010</v>
      </c>
      <c r="C933" t="s">
        <v>23</v>
      </c>
      <c r="D933" t="s">
        <v>19</v>
      </c>
      <c r="E933">
        <v>7442.25</v>
      </c>
      <c r="F933">
        <v>14</v>
      </c>
      <c r="G933" t="s">
        <v>14</v>
      </c>
      <c r="H933">
        <v>1861.2</v>
      </c>
      <c r="I933">
        <v>2075.35</v>
      </c>
      <c r="J933" t="s">
        <v>20</v>
      </c>
      <c r="K933">
        <v>0.1</v>
      </c>
      <c r="L933" t="s">
        <v>21</v>
      </c>
      <c r="M933" t="s">
        <v>17</v>
      </c>
      <c r="N933" t="s">
        <v>81</v>
      </c>
    </row>
    <row r="934" spans="1:14" x14ac:dyDescent="0.3">
      <c r="A934">
        <v>1012</v>
      </c>
      <c r="B934" s="13">
        <v>45244</v>
      </c>
      <c r="C934" t="s">
        <v>18</v>
      </c>
      <c r="D934" t="s">
        <v>30</v>
      </c>
      <c r="E934">
        <v>4976.43</v>
      </c>
      <c r="F934">
        <v>14</v>
      </c>
      <c r="G934" t="s">
        <v>28</v>
      </c>
      <c r="H934">
        <v>1185.5</v>
      </c>
      <c r="I934">
        <v>1271.45</v>
      </c>
      <c r="J934" t="s">
        <v>20</v>
      </c>
      <c r="K934">
        <v>0.03</v>
      </c>
      <c r="L934" t="s">
        <v>25</v>
      </c>
      <c r="M934" t="s">
        <v>17</v>
      </c>
      <c r="N934" t="s">
        <v>64</v>
      </c>
    </row>
    <row r="935" spans="1:14" x14ac:dyDescent="0.3">
      <c r="A935">
        <v>1090</v>
      </c>
      <c r="B935" s="13">
        <v>45037</v>
      </c>
      <c r="C935" t="s">
        <v>18</v>
      </c>
      <c r="D935" t="s">
        <v>19</v>
      </c>
      <c r="E935">
        <v>4883.49</v>
      </c>
      <c r="F935">
        <v>35</v>
      </c>
      <c r="G935" t="s">
        <v>28</v>
      </c>
      <c r="H935">
        <v>1130.5999999999999</v>
      </c>
      <c r="I935" s="14" t="s">
        <v>93</v>
      </c>
      <c r="J935" t="s">
        <v>20</v>
      </c>
      <c r="K935">
        <v>0.13</v>
      </c>
      <c r="L935" t="s">
        <v>16</v>
      </c>
      <c r="M935" t="s">
        <v>29</v>
      </c>
      <c r="N935" t="s">
        <v>56</v>
      </c>
    </row>
    <row r="936" spans="1:14" x14ac:dyDescent="0.3">
      <c r="A936">
        <v>1046</v>
      </c>
      <c r="B936" s="13">
        <v>45177</v>
      </c>
      <c r="C936" t="s">
        <v>26</v>
      </c>
      <c r="D936" t="s">
        <v>30</v>
      </c>
      <c r="E936">
        <v>8398.48</v>
      </c>
      <c r="F936">
        <v>30</v>
      </c>
      <c r="G936" t="s">
        <v>24</v>
      </c>
      <c r="H936">
        <v>320.73</v>
      </c>
      <c r="I936">
        <v>678.04</v>
      </c>
      <c r="J936" t="s">
        <v>20</v>
      </c>
      <c r="K936">
        <v>0.08</v>
      </c>
      <c r="L936" t="s">
        <v>16</v>
      </c>
      <c r="M936" t="s">
        <v>17</v>
      </c>
      <c r="N936" t="s">
        <v>71</v>
      </c>
    </row>
    <row r="937" spans="1:14" x14ac:dyDescent="0.3">
      <c r="A937">
        <v>1034</v>
      </c>
      <c r="B937" s="13">
        <v>44933</v>
      </c>
      <c r="C937" t="s">
        <v>18</v>
      </c>
      <c r="D937" t="s">
        <v>19</v>
      </c>
      <c r="E937">
        <v>3677.9</v>
      </c>
      <c r="F937">
        <v>28</v>
      </c>
      <c r="G937" t="s">
        <v>24</v>
      </c>
      <c r="H937">
        <v>137.47</v>
      </c>
      <c r="I937">
        <v>234.63</v>
      </c>
      <c r="J937" t="s">
        <v>15</v>
      </c>
      <c r="K937">
        <v>0.27</v>
      </c>
      <c r="L937" t="s">
        <v>25</v>
      </c>
      <c r="M937" t="s">
        <v>17</v>
      </c>
      <c r="N937" t="s">
        <v>56</v>
      </c>
    </row>
    <row r="938" spans="1:14" x14ac:dyDescent="0.3">
      <c r="A938">
        <v>1049</v>
      </c>
      <c r="B938" s="13">
        <v>45010</v>
      </c>
      <c r="C938" t="s">
        <v>12</v>
      </c>
      <c r="D938" t="s">
        <v>13</v>
      </c>
      <c r="E938">
        <v>8611.9699999999993</v>
      </c>
      <c r="F938">
        <v>17</v>
      </c>
      <c r="G938" t="s">
        <v>28</v>
      </c>
      <c r="H938">
        <v>558.70000000000005</v>
      </c>
      <c r="I938">
        <v>1004.08</v>
      </c>
      <c r="J938" t="s">
        <v>20</v>
      </c>
      <c r="K938">
        <v>0.03</v>
      </c>
      <c r="L938" t="s">
        <v>21</v>
      </c>
      <c r="M938" t="s">
        <v>29</v>
      </c>
      <c r="N938" t="s">
        <v>83</v>
      </c>
    </row>
    <row r="939" spans="1:14" x14ac:dyDescent="0.3">
      <c r="A939">
        <v>1078</v>
      </c>
      <c r="B939" s="13">
        <v>45134</v>
      </c>
      <c r="C939" t="s">
        <v>12</v>
      </c>
      <c r="D939" t="s">
        <v>30</v>
      </c>
      <c r="E939">
        <v>4127.37</v>
      </c>
      <c r="F939">
        <v>3</v>
      </c>
      <c r="G939" t="s">
        <v>14</v>
      </c>
      <c r="H939">
        <v>902.38</v>
      </c>
      <c r="I939">
        <v>1128.9100000000001</v>
      </c>
      <c r="J939" t="s">
        <v>15</v>
      </c>
      <c r="K939">
        <v>0.01</v>
      </c>
      <c r="L939" t="s">
        <v>25</v>
      </c>
      <c r="M939" t="s">
        <v>17</v>
      </c>
      <c r="N939" t="s">
        <v>72</v>
      </c>
    </row>
    <row r="940" spans="1:14" x14ac:dyDescent="0.3">
      <c r="A940">
        <v>1090</v>
      </c>
      <c r="B940" s="13">
        <v>45240</v>
      </c>
      <c r="C940" t="s">
        <v>26</v>
      </c>
      <c r="D940" t="s">
        <v>30</v>
      </c>
      <c r="E940">
        <v>3349.51</v>
      </c>
      <c r="F940">
        <v>16</v>
      </c>
      <c r="G940" t="s">
        <v>14</v>
      </c>
      <c r="H940">
        <v>2183.37</v>
      </c>
      <c r="I940" s="14" t="s">
        <v>92</v>
      </c>
      <c r="J940" t="s">
        <v>20</v>
      </c>
      <c r="K940">
        <v>0</v>
      </c>
      <c r="L940" t="s">
        <v>25</v>
      </c>
      <c r="M940" t="s">
        <v>17</v>
      </c>
      <c r="N940" t="s">
        <v>71</v>
      </c>
    </row>
    <row r="941" spans="1:14" x14ac:dyDescent="0.3">
      <c r="A941">
        <v>1045</v>
      </c>
      <c r="B941" s="13">
        <v>44948</v>
      </c>
      <c r="C941" t="s">
        <v>23</v>
      </c>
      <c r="D941" t="s">
        <v>13</v>
      </c>
      <c r="E941">
        <v>4594.5</v>
      </c>
      <c r="F941">
        <v>46</v>
      </c>
      <c r="G941" t="s">
        <v>22</v>
      </c>
      <c r="H941">
        <v>2577.08</v>
      </c>
      <c r="I941">
        <v>2961.56</v>
      </c>
      <c r="J941" t="s">
        <v>20</v>
      </c>
      <c r="K941">
        <v>0.1</v>
      </c>
      <c r="L941" t="s">
        <v>16</v>
      </c>
      <c r="M941" t="s">
        <v>29</v>
      </c>
      <c r="N941" t="s">
        <v>69</v>
      </c>
    </row>
    <row r="942" spans="1:14" x14ac:dyDescent="0.3">
      <c r="A942">
        <v>1027</v>
      </c>
      <c r="B942" s="13">
        <v>44929</v>
      </c>
      <c r="C942" t="s">
        <v>23</v>
      </c>
      <c r="D942" t="s">
        <v>13</v>
      </c>
      <c r="E942">
        <v>7648.22</v>
      </c>
      <c r="F942">
        <v>30</v>
      </c>
      <c r="G942" t="s">
        <v>24</v>
      </c>
      <c r="H942">
        <v>745.93</v>
      </c>
      <c r="I942">
        <v>1143.02</v>
      </c>
      <c r="J942" t="s">
        <v>20</v>
      </c>
      <c r="K942">
        <v>0.2</v>
      </c>
      <c r="L942" t="s">
        <v>21</v>
      </c>
      <c r="M942" t="s">
        <v>29</v>
      </c>
      <c r="N942" t="s">
        <v>69</v>
      </c>
    </row>
    <row r="943" spans="1:14" x14ac:dyDescent="0.3">
      <c r="A943">
        <v>1073</v>
      </c>
      <c r="B943" s="13">
        <v>45053</v>
      </c>
      <c r="C943" t="s">
        <v>18</v>
      </c>
      <c r="D943" t="s">
        <v>30</v>
      </c>
      <c r="E943">
        <v>1347.42</v>
      </c>
      <c r="F943">
        <v>29</v>
      </c>
      <c r="G943" t="s">
        <v>14</v>
      </c>
      <c r="H943">
        <v>2152.6799999999998</v>
      </c>
      <c r="I943">
        <v>2475.9299999999998</v>
      </c>
      <c r="J943" t="s">
        <v>20</v>
      </c>
      <c r="K943">
        <v>0.22</v>
      </c>
      <c r="L943" t="s">
        <v>25</v>
      </c>
      <c r="M943" t="s">
        <v>29</v>
      </c>
      <c r="N943" t="s">
        <v>64</v>
      </c>
    </row>
    <row r="944" spans="1:14" x14ac:dyDescent="0.3">
      <c r="A944">
        <v>1026</v>
      </c>
      <c r="B944" s="13">
        <v>45223</v>
      </c>
      <c r="C944" t="s">
        <v>18</v>
      </c>
      <c r="D944" t="s">
        <v>13</v>
      </c>
      <c r="E944">
        <v>2044.55</v>
      </c>
      <c r="F944">
        <v>45</v>
      </c>
      <c r="G944" t="s">
        <v>22</v>
      </c>
      <c r="H944">
        <v>1741.66</v>
      </c>
      <c r="I944">
        <v>2169.86</v>
      </c>
      <c r="J944" t="s">
        <v>20</v>
      </c>
      <c r="K944">
        <v>0.14000000000000001</v>
      </c>
      <c r="L944" t="s">
        <v>21</v>
      </c>
      <c r="M944" t="s">
        <v>29</v>
      </c>
      <c r="N944" t="s">
        <v>80</v>
      </c>
    </row>
    <row r="945" spans="1:14" x14ac:dyDescent="0.3">
      <c r="A945">
        <v>1047</v>
      </c>
      <c r="B945" s="13">
        <v>45114</v>
      </c>
      <c r="C945" t="s">
        <v>18</v>
      </c>
      <c r="D945" t="s">
        <v>27</v>
      </c>
      <c r="E945">
        <v>9519.2999999999993</v>
      </c>
      <c r="F945">
        <v>15</v>
      </c>
      <c r="G945" t="s">
        <v>14</v>
      </c>
      <c r="H945">
        <v>957.95</v>
      </c>
      <c r="I945">
        <v>1329.26</v>
      </c>
      <c r="J945" t="s">
        <v>15</v>
      </c>
      <c r="K945">
        <v>0.21</v>
      </c>
      <c r="L945" t="s">
        <v>16</v>
      </c>
      <c r="M945" t="s">
        <v>29</v>
      </c>
      <c r="N945" t="s">
        <v>58</v>
      </c>
    </row>
    <row r="946" spans="1:14" x14ac:dyDescent="0.3">
      <c r="A946">
        <v>1086</v>
      </c>
      <c r="B946" s="13">
        <v>45288</v>
      </c>
      <c r="C946" t="s">
        <v>23</v>
      </c>
      <c r="D946" t="s">
        <v>19</v>
      </c>
      <c r="E946">
        <v>1837.37</v>
      </c>
      <c r="F946">
        <v>46</v>
      </c>
      <c r="G946" t="s">
        <v>24</v>
      </c>
      <c r="H946">
        <v>83.86</v>
      </c>
      <c r="I946">
        <v>526.14</v>
      </c>
      <c r="J946" t="s">
        <v>20</v>
      </c>
      <c r="K946">
        <v>0.11</v>
      </c>
      <c r="L946" t="s">
        <v>21</v>
      </c>
      <c r="M946" t="s">
        <v>29</v>
      </c>
      <c r="N946" t="s">
        <v>81</v>
      </c>
    </row>
    <row r="947" spans="1:14" x14ac:dyDescent="0.3">
      <c r="A947">
        <v>1056</v>
      </c>
      <c r="B947" s="13">
        <v>44940</v>
      </c>
      <c r="C947" t="s">
        <v>31</v>
      </c>
      <c r="D947" t="s">
        <v>19</v>
      </c>
      <c r="E947">
        <v>5720.5</v>
      </c>
      <c r="F947">
        <v>25</v>
      </c>
      <c r="G947" t="s">
        <v>22</v>
      </c>
      <c r="H947">
        <v>2361.7399999999998</v>
      </c>
      <c r="I947">
        <v>2584.35</v>
      </c>
      <c r="J947" t="s">
        <v>20</v>
      </c>
      <c r="K947">
        <v>0.2</v>
      </c>
      <c r="L947" t="s">
        <v>16</v>
      </c>
      <c r="M947" t="s">
        <v>29</v>
      </c>
      <c r="N947" t="s">
        <v>88</v>
      </c>
    </row>
    <row r="948" spans="1:14" x14ac:dyDescent="0.3">
      <c r="A948">
        <v>1094</v>
      </c>
      <c r="B948" s="13">
        <v>44938</v>
      </c>
      <c r="C948" t="s">
        <v>12</v>
      </c>
      <c r="D948" t="s">
        <v>19</v>
      </c>
      <c r="E948">
        <v>5835.21</v>
      </c>
      <c r="F948">
        <v>38</v>
      </c>
      <c r="G948" t="s">
        <v>22</v>
      </c>
      <c r="H948">
        <v>3443.98</v>
      </c>
      <c r="I948">
        <v>3820.3</v>
      </c>
      <c r="J948" t="s">
        <v>20</v>
      </c>
      <c r="K948">
        <v>0.01</v>
      </c>
      <c r="L948" t="s">
        <v>21</v>
      </c>
      <c r="M948" t="s">
        <v>17</v>
      </c>
      <c r="N948" t="s">
        <v>74</v>
      </c>
    </row>
    <row r="949" spans="1:14" x14ac:dyDescent="0.3">
      <c r="A949">
        <v>1063</v>
      </c>
      <c r="B949" s="13">
        <v>45013</v>
      </c>
      <c r="C949" t="s">
        <v>31</v>
      </c>
      <c r="D949" t="s">
        <v>27</v>
      </c>
      <c r="E949">
        <v>4947.28</v>
      </c>
      <c r="F949">
        <v>42</v>
      </c>
      <c r="G949" t="s">
        <v>22</v>
      </c>
      <c r="H949">
        <v>1170.07</v>
      </c>
      <c r="I949" s="14" t="s">
        <v>91</v>
      </c>
      <c r="J949" t="s">
        <v>20</v>
      </c>
      <c r="K949">
        <v>0.12</v>
      </c>
      <c r="L949" t="s">
        <v>25</v>
      </c>
      <c r="M949" t="s">
        <v>17</v>
      </c>
      <c r="N949" t="s">
        <v>86</v>
      </c>
    </row>
    <row r="950" spans="1:14" x14ac:dyDescent="0.3">
      <c r="A950">
        <v>1048</v>
      </c>
      <c r="B950" s="13">
        <v>44938</v>
      </c>
      <c r="C950" t="s">
        <v>31</v>
      </c>
      <c r="D950" t="s">
        <v>13</v>
      </c>
      <c r="E950">
        <v>6482.98</v>
      </c>
      <c r="F950">
        <v>47</v>
      </c>
      <c r="G950" t="s">
        <v>14</v>
      </c>
      <c r="H950">
        <v>702.44</v>
      </c>
      <c r="I950">
        <v>1067.6600000000001</v>
      </c>
      <c r="J950" t="s">
        <v>15</v>
      </c>
      <c r="K950">
        <v>0.24</v>
      </c>
      <c r="L950" t="s">
        <v>16</v>
      </c>
      <c r="M950" t="s">
        <v>17</v>
      </c>
      <c r="N950" t="s">
        <v>67</v>
      </c>
    </row>
    <row r="951" spans="1:14" x14ac:dyDescent="0.3">
      <c r="A951">
        <v>1061</v>
      </c>
      <c r="B951" s="13">
        <v>44951</v>
      </c>
      <c r="C951" t="s">
        <v>23</v>
      </c>
      <c r="D951" t="s">
        <v>13</v>
      </c>
      <c r="E951">
        <v>2375.2800000000002</v>
      </c>
      <c r="F951">
        <v>38</v>
      </c>
      <c r="G951" t="s">
        <v>24</v>
      </c>
      <c r="H951">
        <v>4440.8599999999997</v>
      </c>
      <c r="I951" s="14" t="s">
        <v>90</v>
      </c>
      <c r="J951" t="s">
        <v>20</v>
      </c>
      <c r="K951">
        <v>0.24</v>
      </c>
      <c r="L951" t="s">
        <v>25</v>
      </c>
      <c r="M951" t="s">
        <v>29</v>
      </c>
      <c r="N951" t="s">
        <v>69</v>
      </c>
    </row>
    <row r="952" spans="1:14" x14ac:dyDescent="0.3">
      <c r="A952">
        <v>1081</v>
      </c>
      <c r="B952" s="13">
        <v>45227</v>
      </c>
      <c r="C952" t="s">
        <v>31</v>
      </c>
      <c r="D952" t="s">
        <v>30</v>
      </c>
      <c r="E952">
        <v>5571.36</v>
      </c>
      <c r="F952">
        <v>23</v>
      </c>
      <c r="G952" t="s">
        <v>22</v>
      </c>
      <c r="H952">
        <v>1411.37</v>
      </c>
      <c r="I952">
        <v>1675.35</v>
      </c>
      <c r="J952" t="s">
        <v>15</v>
      </c>
      <c r="K952">
        <v>0.21</v>
      </c>
      <c r="L952" t="s">
        <v>16</v>
      </c>
      <c r="M952" t="s">
        <v>17</v>
      </c>
      <c r="N952" t="s">
        <v>62</v>
      </c>
    </row>
    <row r="953" spans="1:14" x14ac:dyDescent="0.3">
      <c r="A953">
        <v>1026</v>
      </c>
      <c r="B953" s="13">
        <v>45169</v>
      </c>
      <c r="C953" t="s">
        <v>26</v>
      </c>
      <c r="D953" t="s">
        <v>13</v>
      </c>
      <c r="E953">
        <v>3784.52</v>
      </c>
      <c r="F953">
        <v>25</v>
      </c>
      <c r="G953" t="s">
        <v>28</v>
      </c>
      <c r="H953">
        <v>1156.8800000000001</v>
      </c>
      <c r="I953">
        <v>1454.68</v>
      </c>
      <c r="J953" t="s">
        <v>20</v>
      </c>
      <c r="K953">
        <v>0.06</v>
      </c>
      <c r="L953" t="s">
        <v>21</v>
      </c>
      <c r="M953" t="s">
        <v>29</v>
      </c>
      <c r="N953" t="s">
        <v>55</v>
      </c>
    </row>
    <row r="954" spans="1:14" x14ac:dyDescent="0.3">
      <c r="A954">
        <v>1036</v>
      </c>
      <c r="B954" s="13">
        <v>45048</v>
      </c>
      <c r="C954" t="s">
        <v>18</v>
      </c>
      <c r="D954" t="s">
        <v>30</v>
      </c>
      <c r="E954">
        <v>6650.51</v>
      </c>
      <c r="F954">
        <v>42</v>
      </c>
      <c r="G954" t="s">
        <v>24</v>
      </c>
      <c r="H954">
        <v>4292.63</v>
      </c>
      <c r="I954">
        <v>4387.99</v>
      </c>
      <c r="J954" t="s">
        <v>15</v>
      </c>
      <c r="K954">
        <v>7.0000000000000007E-2</v>
      </c>
      <c r="L954" t="s">
        <v>21</v>
      </c>
      <c r="M954" t="s">
        <v>17</v>
      </c>
      <c r="N954" t="s">
        <v>64</v>
      </c>
    </row>
    <row r="955" spans="1:14" x14ac:dyDescent="0.3">
      <c r="A955">
        <v>1001</v>
      </c>
      <c r="B955" s="13">
        <v>45073</v>
      </c>
      <c r="C955" t="s">
        <v>26</v>
      </c>
      <c r="D955" t="s">
        <v>27</v>
      </c>
      <c r="E955">
        <v>1498.11</v>
      </c>
      <c r="F955">
        <v>7</v>
      </c>
      <c r="G955" t="s">
        <v>28</v>
      </c>
      <c r="H955">
        <v>4094.68</v>
      </c>
      <c r="I955">
        <v>4576.5</v>
      </c>
      <c r="J955" t="s">
        <v>15</v>
      </c>
      <c r="K955">
        <v>0.3</v>
      </c>
      <c r="L955" t="s">
        <v>16</v>
      </c>
      <c r="M955" t="s">
        <v>17</v>
      </c>
      <c r="N955" t="s">
        <v>63</v>
      </c>
    </row>
    <row r="956" spans="1:14" x14ac:dyDescent="0.3">
      <c r="A956">
        <v>1008</v>
      </c>
      <c r="B956" s="13">
        <v>44981</v>
      </c>
      <c r="C956" t="s">
        <v>12</v>
      </c>
      <c r="D956" t="s">
        <v>19</v>
      </c>
      <c r="E956">
        <v>5751.69</v>
      </c>
      <c r="F956">
        <v>22</v>
      </c>
      <c r="G956" t="s">
        <v>28</v>
      </c>
      <c r="H956">
        <v>2269.3200000000002</v>
      </c>
      <c r="I956" s="14" t="s">
        <v>89</v>
      </c>
      <c r="J956" t="s">
        <v>15</v>
      </c>
      <c r="K956">
        <v>0.03</v>
      </c>
      <c r="L956" t="s">
        <v>16</v>
      </c>
      <c r="M956" t="s">
        <v>17</v>
      </c>
      <c r="N956" t="s">
        <v>74</v>
      </c>
    </row>
    <row r="957" spans="1:14" x14ac:dyDescent="0.3">
      <c r="A957">
        <v>1099</v>
      </c>
      <c r="B957" s="13">
        <v>45164</v>
      </c>
      <c r="C957" t="s">
        <v>18</v>
      </c>
      <c r="D957" t="s">
        <v>19</v>
      </c>
      <c r="E957">
        <v>1934.18</v>
      </c>
      <c r="F957">
        <v>17</v>
      </c>
      <c r="G957" t="s">
        <v>22</v>
      </c>
      <c r="H957">
        <v>2471.73</v>
      </c>
      <c r="I957">
        <v>2568.73</v>
      </c>
      <c r="J957" t="s">
        <v>15</v>
      </c>
      <c r="K957">
        <v>0.05</v>
      </c>
      <c r="L957" t="s">
        <v>16</v>
      </c>
      <c r="M957" t="s">
        <v>17</v>
      </c>
      <c r="N957" t="s">
        <v>56</v>
      </c>
    </row>
    <row r="958" spans="1:14" x14ac:dyDescent="0.3">
      <c r="A958">
        <v>1052</v>
      </c>
      <c r="B958" s="13">
        <v>45282</v>
      </c>
      <c r="C958" t="s">
        <v>31</v>
      </c>
      <c r="D958" t="s">
        <v>19</v>
      </c>
      <c r="E958">
        <v>2858.57</v>
      </c>
      <c r="F958">
        <v>18</v>
      </c>
      <c r="G958" t="s">
        <v>22</v>
      </c>
      <c r="H958">
        <v>1127.8599999999999</v>
      </c>
      <c r="I958">
        <v>1586.29</v>
      </c>
      <c r="J958" t="s">
        <v>15</v>
      </c>
      <c r="K958">
        <v>0.04</v>
      </c>
      <c r="L958" t="s">
        <v>21</v>
      </c>
      <c r="M958" t="s">
        <v>29</v>
      </c>
      <c r="N958" t="s">
        <v>88</v>
      </c>
    </row>
    <row r="959" spans="1:14" x14ac:dyDescent="0.3">
      <c r="A959">
        <v>1079</v>
      </c>
      <c r="B959" s="13">
        <v>45099</v>
      </c>
      <c r="C959" t="s">
        <v>12</v>
      </c>
      <c r="D959" t="s">
        <v>13</v>
      </c>
      <c r="E959">
        <v>2265.23</v>
      </c>
      <c r="F959">
        <v>49</v>
      </c>
      <c r="G959" t="s">
        <v>14</v>
      </c>
      <c r="H959">
        <v>437.59</v>
      </c>
      <c r="I959">
        <v>675.54</v>
      </c>
      <c r="J959" t="s">
        <v>20</v>
      </c>
      <c r="K959">
        <v>0.1</v>
      </c>
      <c r="L959" t="s">
        <v>16</v>
      </c>
      <c r="M959" t="s">
        <v>29</v>
      </c>
      <c r="N959" t="s">
        <v>83</v>
      </c>
    </row>
    <row r="960" spans="1:14" x14ac:dyDescent="0.3">
      <c r="A960">
        <v>1047</v>
      </c>
      <c r="B960" s="13">
        <v>45147</v>
      </c>
      <c r="C960" t="s">
        <v>18</v>
      </c>
      <c r="D960" t="s">
        <v>30</v>
      </c>
      <c r="E960">
        <v>1910.09</v>
      </c>
      <c r="F960">
        <v>41</v>
      </c>
      <c r="G960" t="s">
        <v>14</v>
      </c>
      <c r="H960">
        <v>2888.49</v>
      </c>
      <c r="I960">
        <v>2929.45</v>
      </c>
      <c r="J960" t="s">
        <v>15</v>
      </c>
      <c r="K960">
        <v>0.06</v>
      </c>
      <c r="L960" t="s">
        <v>16</v>
      </c>
      <c r="M960" t="s">
        <v>17</v>
      </c>
      <c r="N960" t="s">
        <v>64</v>
      </c>
    </row>
    <row r="961" spans="1:14" x14ac:dyDescent="0.3">
      <c r="A961">
        <v>1056</v>
      </c>
      <c r="B961" s="13">
        <v>45045</v>
      </c>
      <c r="C961" t="s">
        <v>31</v>
      </c>
      <c r="D961" t="s">
        <v>30</v>
      </c>
      <c r="E961">
        <v>8274.5400000000009</v>
      </c>
      <c r="F961">
        <v>10</v>
      </c>
      <c r="G961" t="s">
        <v>14</v>
      </c>
      <c r="H961">
        <v>536.80999999999995</v>
      </c>
      <c r="I961">
        <v>839.92</v>
      </c>
      <c r="J961" t="s">
        <v>20</v>
      </c>
      <c r="K961">
        <v>0.15</v>
      </c>
      <c r="L961" t="s">
        <v>25</v>
      </c>
      <c r="M961" t="s">
        <v>29</v>
      </c>
      <c r="N961" t="s">
        <v>62</v>
      </c>
    </row>
    <row r="962" spans="1:14" x14ac:dyDescent="0.3">
      <c r="A962">
        <v>1086</v>
      </c>
      <c r="B962" s="13">
        <v>45235</v>
      </c>
      <c r="C962" t="s">
        <v>26</v>
      </c>
      <c r="D962" t="s">
        <v>27</v>
      </c>
      <c r="E962">
        <v>2928.5</v>
      </c>
      <c r="F962">
        <v>10</v>
      </c>
      <c r="G962" t="s">
        <v>24</v>
      </c>
      <c r="H962">
        <v>2273.91</v>
      </c>
      <c r="I962" s="14" t="s">
        <v>87</v>
      </c>
      <c r="J962" t="s">
        <v>15</v>
      </c>
      <c r="K962">
        <v>0.14000000000000001</v>
      </c>
      <c r="L962" t="s">
        <v>16</v>
      </c>
      <c r="M962" t="s">
        <v>29</v>
      </c>
      <c r="N962" t="s">
        <v>63</v>
      </c>
    </row>
    <row r="963" spans="1:14" x14ac:dyDescent="0.3">
      <c r="A963">
        <v>1014</v>
      </c>
      <c r="B963" s="13">
        <v>45109</v>
      </c>
      <c r="C963" t="s">
        <v>18</v>
      </c>
      <c r="D963" t="s">
        <v>13</v>
      </c>
      <c r="E963">
        <v>9278.5300000000007</v>
      </c>
      <c r="F963">
        <v>7</v>
      </c>
      <c r="G963" t="s">
        <v>14</v>
      </c>
      <c r="H963">
        <v>4705.46</v>
      </c>
      <c r="I963">
        <v>4747.07</v>
      </c>
      <c r="J963" t="s">
        <v>15</v>
      </c>
      <c r="K963">
        <v>0.27</v>
      </c>
      <c r="L963" t="s">
        <v>25</v>
      </c>
      <c r="M963" t="s">
        <v>17</v>
      </c>
      <c r="N963" t="s">
        <v>80</v>
      </c>
    </row>
    <row r="964" spans="1:14" x14ac:dyDescent="0.3">
      <c r="A964">
        <v>1090</v>
      </c>
      <c r="B964" s="13">
        <v>45214</v>
      </c>
      <c r="C964" t="s">
        <v>31</v>
      </c>
      <c r="D964" t="s">
        <v>27</v>
      </c>
      <c r="E964">
        <v>9702.27</v>
      </c>
      <c r="F964">
        <v>48</v>
      </c>
      <c r="G964" t="s">
        <v>28</v>
      </c>
      <c r="H964">
        <v>4766.53</v>
      </c>
      <c r="I964">
        <v>5253.07</v>
      </c>
      <c r="J964" t="s">
        <v>20</v>
      </c>
      <c r="K964">
        <v>0.01</v>
      </c>
      <c r="L964" t="s">
        <v>25</v>
      </c>
      <c r="M964" t="s">
        <v>29</v>
      </c>
      <c r="N964" t="s">
        <v>86</v>
      </c>
    </row>
    <row r="965" spans="1:14" x14ac:dyDescent="0.3">
      <c r="A965">
        <v>1028</v>
      </c>
      <c r="B965" s="13">
        <v>45233</v>
      </c>
      <c r="C965" t="s">
        <v>26</v>
      </c>
      <c r="D965" t="s">
        <v>30</v>
      </c>
      <c r="E965">
        <v>5755.48</v>
      </c>
      <c r="F965">
        <v>38</v>
      </c>
      <c r="G965" t="s">
        <v>14</v>
      </c>
      <c r="H965">
        <v>1234.69</v>
      </c>
      <c r="I965">
        <v>1511.26</v>
      </c>
      <c r="J965" t="s">
        <v>15</v>
      </c>
      <c r="K965">
        <v>0.1</v>
      </c>
      <c r="L965" t="s">
        <v>25</v>
      </c>
      <c r="M965" t="s">
        <v>29</v>
      </c>
      <c r="N965" t="s">
        <v>71</v>
      </c>
    </row>
    <row r="966" spans="1:14" x14ac:dyDescent="0.3">
      <c r="A966">
        <v>1087</v>
      </c>
      <c r="B966" s="13">
        <v>45226</v>
      </c>
      <c r="C966" t="s">
        <v>12</v>
      </c>
      <c r="D966" t="s">
        <v>30</v>
      </c>
      <c r="E966">
        <v>1515.71</v>
      </c>
      <c r="F966">
        <v>27</v>
      </c>
      <c r="G966" t="s">
        <v>22</v>
      </c>
      <c r="H966">
        <v>3139.36</v>
      </c>
      <c r="I966" s="14" t="s">
        <v>85</v>
      </c>
      <c r="J966" t="s">
        <v>15</v>
      </c>
      <c r="K966">
        <v>0.18</v>
      </c>
      <c r="L966" t="s">
        <v>21</v>
      </c>
      <c r="M966" t="s">
        <v>29</v>
      </c>
      <c r="N966" t="s">
        <v>72</v>
      </c>
    </row>
    <row r="967" spans="1:14" x14ac:dyDescent="0.3">
      <c r="A967">
        <v>1078</v>
      </c>
      <c r="B967" s="13">
        <v>45008</v>
      </c>
      <c r="C967" t="s">
        <v>12</v>
      </c>
      <c r="D967" t="s">
        <v>19</v>
      </c>
      <c r="E967">
        <v>3808.03</v>
      </c>
      <c r="F967">
        <v>33</v>
      </c>
      <c r="G967" t="s">
        <v>14</v>
      </c>
      <c r="H967">
        <v>2396.6799999999998</v>
      </c>
      <c r="I967">
        <v>2661.54</v>
      </c>
      <c r="J967" t="s">
        <v>15</v>
      </c>
      <c r="K967">
        <v>0.18</v>
      </c>
      <c r="L967" t="s">
        <v>25</v>
      </c>
      <c r="M967" t="s">
        <v>29</v>
      </c>
      <c r="N967" t="s">
        <v>74</v>
      </c>
    </row>
    <row r="968" spans="1:14" x14ac:dyDescent="0.3">
      <c r="A968">
        <v>1088</v>
      </c>
      <c r="B968" s="13">
        <v>45137</v>
      </c>
      <c r="C968" t="s">
        <v>12</v>
      </c>
      <c r="D968" t="s">
        <v>13</v>
      </c>
      <c r="E968">
        <v>7997.55</v>
      </c>
      <c r="F968">
        <v>1</v>
      </c>
      <c r="G968" t="s">
        <v>24</v>
      </c>
      <c r="H968">
        <v>4384.6400000000003</v>
      </c>
      <c r="I968" s="14" t="s">
        <v>84</v>
      </c>
      <c r="J968" t="s">
        <v>15</v>
      </c>
      <c r="K968">
        <v>0.14000000000000001</v>
      </c>
      <c r="L968" t="s">
        <v>16</v>
      </c>
      <c r="M968" t="s">
        <v>17</v>
      </c>
      <c r="N968" t="s">
        <v>83</v>
      </c>
    </row>
    <row r="969" spans="1:14" x14ac:dyDescent="0.3">
      <c r="A969">
        <v>1002</v>
      </c>
      <c r="B969" s="13">
        <v>45076</v>
      </c>
      <c r="C969" t="s">
        <v>12</v>
      </c>
      <c r="D969" t="s">
        <v>30</v>
      </c>
      <c r="E969">
        <v>3737.17</v>
      </c>
      <c r="F969">
        <v>44</v>
      </c>
      <c r="G969" t="s">
        <v>24</v>
      </c>
      <c r="H969">
        <v>1393.58</v>
      </c>
      <c r="I969">
        <v>1533.09</v>
      </c>
      <c r="J969" t="s">
        <v>20</v>
      </c>
      <c r="K969">
        <v>0.24</v>
      </c>
      <c r="L969" t="s">
        <v>21</v>
      </c>
      <c r="M969" t="s">
        <v>17</v>
      </c>
      <c r="N969" t="s">
        <v>72</v>
      </c>
    </row>
    <row r="970" spans="1:14" x14ac:dyDescent="0.3">
      <c r="A970">
        <v>1026</v>
      </c>
      <c r="B970" s="13">
        <v>44963</v>
      </c>
      <c r="C970" t="s">
        <v>23</v>
      </c>
      <c r="D970" t="s">
        <v>19</v>
      </c>
      <c r="E970">
        <v>961.47</v>
      </c>
      <c r="F970">
        <v>34</v>
      </c>
      <c r="G970" t="s">
        <v>28</v>
      </c>
      <c r="H970">
        <v>68.33</v>
      </c>
      <c r="I970" s="14" t="s">
        <v>82</v>
      </c>
      <c r="J970" t="s">
        <v>15</v>
      </c>
      <c r="K970">
        <v>0.02</v>
      </c>
      <c r="L970" t="s">
        <v>21</v>
      </c>
      <c r="M970" t="s">
        <v>29</v>
      </c>
      <c r="N970" t="s">
        <v>81</v>
      </c>
    </row>
    <row r="971" spans="1:14" x14ac:dyDescent="0.3">
      <c r="A971">
        <v>1014</v>
      </c>
      <c r="B971" s="13">
        <v>45278</v>
      </c>
      <c r="C971" t="s">
        <v>18</v>
      </c>
      <c r="D971" t="s">
        <v>13</v>
      </c>
      <c r="E971">
        <v>5612.17</v>
      </c>
      <c r="F971">
        <v>4</v>
      </c>
      <c r="G971" t="s">
        <v>24</v>
      </c>
      <c r="H971">
        <v>854.68</v>
      </c>
      <c r="I971">
        <v>1115.24</v>
      </c>
      <c r="J971" t="s">
        <v>15</v>
      </c>
      <c r="K971">
        <v>0.24</v>
      </c>
      <c r="L971" t="s">
        <v>21</v>
      </c>
      <c r="M971" t="s">
        <v>17</v>
      </c>
      <c r="N971" t="s">
        <v>80</v>
      </c>
    </row>
    <row r="972" spans="1:14" x14ac:dyDescent="0.3">
      <c r="A972">
        <v>1059</v>
      </c>
      <c r="B972" s="13">
        <v>45238</v>
      </c>
      <c r="C972" t="s">
        <v>18</v>
      </c>
      <c r="D972" t="s">
        <v>27</v>
      </c>
      <c r="E972">
        <v>8466.7000000000007</v>
      </c>
      <c r="F972">
        <v>17</v>
      </c>
      <c r="G972" t="s">
        <v>14</v>
      </c>
      <c r="H972">
        <v>1780.14</v>
      </c>
      <c r="I972">
        <v>2185.42</v>
      </c>
      <c r="J972" t="s">
        <v>20</v>
      </c>
      <c r="K972">
        <v>0.15</v>
      </c>
      <c r="L972" t="s">
        <v>21</v>
      </c>
      <c r="M972" t="s">
        <v>17</v>
      </c>
      <c r="N972" t="s">
        <v>58</v>
      </c>
    </row>
    <row r="973" spans="1:14" x14ac:dyDescent="0.3">
      <c r="A973">
        <v>1056</v>
      </c>
      <c r="B973" s="13">
        <v>45287</v>
      </c>
      <c r="C973" t="s">
        <v>23</v>
      </c>
      <c r="D973" t="s">
        <v>13</v>
      </c>
      <c r="E973">
        <v>7979.67</v>
      </c>
      <c r="F973">
        <v>4</v>
      </c>
      <c r="G973" t="s">
        <v>22</v>
      </c>
      <c r="H973">
        <v>1612.82</v>
      </c>
      <c r="I973">
        <v>1647.25</v>
      </c>
      <c r="J973" t="s">
        <v>20</v>
      </c>
      <c r="K973">
        <v>0.04</v>
      </c>
      <c r="L973" t="s">
        <v>21</v>
      </c>
      <c r="M973" t="s">
        <v>17</v>
      </c>
      <c r="N973" t="s">
        <v>69</v>
      </c>
    </row>
    <row r="974" spans="1:14" x14ac:dyDescent="0.3">
      <c r="A974">
        <v>1007</v>
      </c>
      <c r="B974" s="13">
        <v>44985</v>
      </c>
      <c r="C974" t="s">
        <v>31</v>
      </c>
      <c r="D974" t="s">
        <v>13</v>
      </c>
      <c r="E974">
        <v>1833.72</v>
      </c>
      <c r="F974">
        <v>43</v>
      </c>
      <c r="G974" t="s">
        <v>24</v>
      </c>
      <c r="H974">
        <v>3967.25</v>
      </c>
      <c r="I974">
        <v>4272.92</v>
      </c>
      <c r="J974" t="s">
        <v>15</v>
      </c>
      <c r="K974">
        <v>0.27</v>
      </c>
      <c r="L974" t="s">
        <v>21</v>
      </c>
      <c r="M974" t="s">
        <v>29</v>
      </c>
      <c r="N974" t="s">
        <v>67</v>
      </c>
    </row>
    <row r="975" spans="1:14" x14ac:dyDescent="0.3">
      <c r="A975">
        <v>1003</v>
      </c>
      <c r="B975" s="13">
        <v>45057</v>
      </c>
      <c r="C975" t="s">
        <v>31</v>
      </c>
      <c r="D975" t="s">
        <v>30</v>
      </c>
      <c r="E975">
        <v>6760.37</v>
      </c>
      <c r="F975">
        <v>26</v>
      </c>
      <c r="G975" t="s">
        <v>28</v>
      </c>
      <c r="H975">
        <v>3418.78</v>
      </c>
      <c r="I975" s="14" t="s">
        <v>79</v>
      </c>
      <c r="J975" t="s">
        <v>15</v>
      </c>
      <c r="K975">
        <v>0.19</v>
      </c>
      <c r="L975" t="s">
        <v>21</v>
      </c>
      <c r="M975" t="s">
        <v>29</v>
      </c>
      <c r="N975" t="s">
        <v>62</v>
      </c>
    </row>
    <row r="976" spans="1:14" x14ac:dyDescent="0.3">
      <c r="A976">
        <v>1023</v>
      </c>
      <c r="B976" s="13">
        <v>45128</v>
      </c>
      <c r="C976" t="s">
        <v>12</v>
      </c>
      <c r="D976" t="s">
        <v>30</v>
      </c>
      <c r="E976">
        <v>2282.9899999999998</v>
      </c>
      <c r="F976">
        <v>4</v>
      </c>
      <c r="G976" t="s">
        <v>14</v>
      </c>
      <c r="H976">
        <v>1532.8</v>
      </c>
      <c r="I976">
        <v>1619.69</v>
      </c>
      <c r="J976" t="s">
        <v>20</v>
      </c>
      <c r="K976">
        <v>0.05</v>
      </c>
      <c r="L976" t="s">
        <v>25</v>
      </c>
      <c r="M976" t="s">
        <v>17</v>
      </c>
      <c r="N976" t="s">
        <v>72</v>
      </c>
    </row>
    <row r="977" spans="1:14" x14ac:dyDescent="0.3">
      <c r="A977">
        <v>1018</v>
      </c>
      <c r="B977" s="13">
        <v>45169</v>
      </c>
      <c r="C977" t="s">
        <v>26</v>
      </c>
      <c r="D977" t="s">
        <v>13</v>
      </c>
      <c r="E977">
        <v>2260.25</v>
      </c>
      <c r="F977">
        <v>1</v>
      </c>
      <c r="G977" t="s">
        <v>28</v>
      </c>
      <c r="H977">
        <v>2315.83</v>
      </c>
      <c r="I977">
        <v>2333.19</v>
      </c>
      <c r="J977" t="s">
        <v>15</v>
      </c>
      <c r="K977">
        <v>0.01</v>
      </c>
      <c r="L977" t="s">
        <v>16</v>
      </c>
      <c r="M977" t="s">
        <v>17</v>
      </c>
      <c r="N977" t="s">
        <v>55</v>
      </c>
    </row>
    <row r="978" spans="1:14" x14ac:dyDescent="0.3">
      <c r="A978">
        <v>1038</v>
      </c>
      <c r="B978" s="13">
        <v>44961</v>
      </c>
      <c r="C978" t="s">
        <v>31</v>
      </c>
      <c r="D978" t="s">
        <v>30</v>
      </c>
      <c r="E978">
        <v>8753.31</v>
      </c>
      <c r="F978">
        <v>7</v>
      </c>
      <c r="G978" t="s">
        <v>24</v>
      </c>
      <c r="H978">
        <v>523.02</v>
      </c>
      <c r="I978">
        <v>686.25</v>
      </c>
      <c r="J978" t="s">
        <v>20</v>
      </c>
      <c r="K978">
        <v>0.04</v>
      </c>
      <c r="L978" t="s">
        <v>16</v>
      </c>
      <c r="M978" t="s">
        <v>29</v>
      </c>
      <c r="N978" t="s">
        <v>62</v>
      </c>
    </row>
    <row r="979" spans="1:14" x14ac:dyDescent="0.3">
      <c r="A979">
        <v>1099</v>
      </c>
      <c r="B979" s="13">
        <v>45019</v>
      </c>
      <c r="C979" t="s">
        <v>26</v>
      </c>
      <c r="D979" t="s">
        <v>30</v>
      </c>
      <c r="E979">
        <v>2571.7199999999998</v>
      </c>
      <c r="F979">
        <v>30</v>
      </c>
      <c r="G979" t="s">
        <v>24</v>
      </c>
      <c r="H979">
        <v>4495.82</v>
      </c>
      <c r="I979" s="14" t="s">
        <v>78</v>
      </c>
      <c r="J979" t="s">
        <v>15</v>
      </c>
      <c r="K979">
        <v>0.18</v>
      </c>
      <c r="L979" t="s">
        <v>25</v>
      </c>
      <c r="M979" t="s">
        <v>17</v>
      </c>
      <c r="N979" t="s">
        <v>71</v>
      </c>
    </row>
    <row r="980" spans="1:14" x14ac:dyDescent="0.3">
      <c r="A980">
        <v>1015</v>
      </c>
      <c r="B980" s="13">
        <v>45133</v>
      </c>
      <c r="C980" t="s">
        <v>18</v>
      </c>
      <c r="D980" t="s">
        <v>30</v>
      </c>
      <c r="E980">
        <v>2706.15</v>
      </c>
      <c r="F980">
        <v>9</v>
      </c>
      <c r="G980" t="s">
        <v>28</v>
      </c>
      <c r="H980">
        <v>4680.3500000000004</v>
      </c>
      <c r="I980" s="14" t="s">
        <v>77</v>
      </c>
      <c r="J980" t="s">
        <v>20</v>
      </c>
      <c r="K980">
        <v>0.05</v>
      </c>
      <c r="L980" t="s">
        <v>25</v>
      </c>
      <c r="M980" t="s">
        <v>29</v>
      </c>
      <c r="N980" t="s">
        <v>64</v>
      </c>
    </row>
    <row r="981" spans="1:14" x14ac:dyDescent="0.3">
      <c r="A981">
        <v>1064</v>
      </c>
      <c r="B981" s="13">
        <v>45279</v>
      </c>
      <c r="C981" t="s">
        <v>26</v>
      </c>
      <c r="D981" t="s">
        <v>19</v>
      </c>
      <c r="E981">
        <v>106.47</v>
      </c>
      <c r="F981">
        <v>35</v>
      </c>
      <c r="G981" t="s">
        <v>14</v>
      </c>
      <c r="H981">
        <v>4900.03</v>
      </c>
      <c r="I981">
        <v>5118.83</v>
      </c>
      <c r="J981" t="s">
        <v>20</v>
      </c>
      <c r="K981">
        <v>7.0000000000000007E-2</v>
      </c>
      <c r="L981" t="s">
        <v>21</v>
      </c>
      <c r="M981" t="s">
        <v>17</v>
      </c>
      <c r="N981" t="s">
        <v>76</v>
      </c>
    </row>
    <row r="982" spans="1:14" x14ac:dyDescent="0.3">
      <c r="A982">
        <v>1089</v>
      </c>
      <c r="B982" s="13">
        <v>45258</v>
      </c>
      <c r="C982" t="s">
        <v>18</v>
      </c>
      <c r="D982" t="s">
        <v>19</v>
      </c>
      <c r="E982">
        <v>8719.6200000000008</v>
      </c>
      <c r="F982">
        <v>8</v>
      </c>
      <c r="G982" t="s">
        <v>24</v>
      </c>
      <c r="H982">
        <v>4349.34</v>
      </c>
      <c r="I982" s="14" t="s">
        <v>75</v>
      </c>
      <c r="J982" t="s">
        <v>20</v>
      </c>
      <c r="K982">
        <v>0.01</v>
      </c>
      <c r="L982" t="s">
        <v>21</v>
      </c>
      <c r="M982" t="s">
        <v>29</v>
      </c>
      <c r="N982" t="s">
        <v>56</v>
      </c>
    </row>
    <row r="983" spans="1:14" x14ac:dyDescent="0.3">
      <c r="A983">
        <v>1028</v>
      </c>
      <c r="B983" s="13">
        <v>45231</v>
      </c>
      <c r="C983" t="s">
        <v>23</v>
      </c>
      <c r="D983" t="s">
        <v>13</v>
      </c>
      <c r="E983">
        <v>7946.69</v>
      </c>
      <c r="F983">
        <v>24</v>
      </c>
      <c r="G983" t="s">
        <v>22</v>
      </c>
      <c r="H983">
        <v>911.11</v>
      </c>
      <c r="I983">
        <v>1214.56</v>
      </c>
      <c r="J983" t="s">
        <v>15</v>
      </c>
      <c r="K983">
        <v>0.22</v>
      </c>
      <c r="L983" t="s">
        <v>25</v>
      </c>
      <c r="M983" t="s">
        <v>29</v>
      </c>
      <c r="N983" t="s">
        <v>69</v>
      </c>
    </row>
    <row r="984" spans="1:14" x14ac:dyDescent="0.3">
      <c r="A984">
        <v>1074</v>
      </c>
      <c r="B984" s="13">
        <v>45276</v>
      </c>
      <c r="C984" t="s">
        <v>23</v>
      </c>
      <c r="D984" t="s">
        <v>30</v>
      </c>
      <c r="E984">
        <v>6310.56</v>
      </c>
      <c r="F984">
        <v>19</v>
      </c>
      <c r="G984" t="s">
        <v>24</v>
      </c>
      <c r="H984">
        <v>278.67</v>
      </c>
      <c r="I984">
        <v>423.13</v>
      </c>
      <c r="J984" t="s">
        <v>15</v>
      </c>
      <c r="K984">
        <v>0.24</v>
      </c>
      <c r="L984" t="s">
        <v>21</v>
      </c>
      <c r="M984" t="s">
        <v>29</v>
      </c>
      <c r="N984" t="s">
        <v>60</v>
      </c>
    </row>
    <row r="985" spans="1:14" x14ac:dyDescent="0.3">
      <c r="A985">
        <v>1039</v>
      </c>
      <c r="B985" s="13">
        <v>45139</v>
      </c>
      <c r="C985" t="s">
        <v>12</v>
      </c>
      <c r="D985" t="s">
        <v>19</v>
      </c>
      <c r="E985">
        <v>7527.63</v>
      </c>
      <c r="F985">
        <v>36</v>
      </c>
      <c r="G985" t="s">
        <v>14</v>
      </c>
      <c r="H985">
        <v>2919</v>
      </c>
      <c r="I985">
        <v>3125.01</v>
      </c>
      <c r="J985" t="s">
        <v>15</v>
      </c>
      <c r="K985">
        <v>0.24</v>
      </c>
      <c r="L985" t="s">
        <v>16</v>
      </c>
      <c r="M985" t="s">
        <v>29</v>
      </c>
      <c r="N985" t="s">
        <v>74</v>
      </c>
    </row>
    <row r="986" spans="1:14" x14ac:dyDescent="0.3">
      <c r="A986">
        <v>1057</v>
      </c>
      <c r="B986" s="13">
        <v>45085</v>
      </c>
      <c r="C986" t="s">
        <v>31</v>
      </c>
      <c r="D986" t="s">
        <v>13</v>
      </c>
      <c r="E986">
        <v>1605.28</v>
      </c>
      <c r="F986">
        <v>43</v>
      </c>
      <c r="G986" t="s">
        <v>24</v>
      </c>
      <c r="H986">
        <v>4567.3900000000003</v>
      </c>
      <c r="I986" s="14" t="s">
        <v>73</v>
      </c>
      <c r="J986" t="s">
        <v>15</v>
      </c>
      <c r="K986">
        <v>0.04</v>
      </c>
      <c r="L986" t="s">
        <v>16</v>
      </c>
      <c r="M986" t="s">
        <v>17</v>
      </c>
      <c r="N986" t="s">
        <v>67</v>
      </c>
    </row>
    <row r="987" spans="1:14" x14ac:dyDescent="0.3">
      <c r="A987">
        <v>1017</v>
      </c>
      <c r="B987" s="13">
        <v>44950</v>
      </c>
      <c r="C987" t="s">
        <v>12</v>
      </c>
      <c r="D987" t="s">
        <v>30</v>
      </c>
      <c r="E987">
        <v>4637.3999999999996</v>
      </c>
      <c r="F987">
        <v>27</v>
      </c>
      <c r="G987" t="s">
        <v>28</v>
      </c>
      <c r="H987">
        <v>927.89</v>
      </c>
      <c r="I987">
        <v>1399.09</v>
      </c>
      <c r="J987" t="s">
        <v>20</v>
      </c>
      <c r="K987">
        <v>0.27</v>
      </c>
      <c r="L987" t="s">
        <v>21</v>
      </c>
      <c r="M987" t="s">
        <v>29</v>
      </c>
      <c r="N987" t="s">
        <v>72</v>
      </c>
    </row>
    <row r="988" spans="1:14" x14ac:dyDescent="0.3">
      <c r="A988">
        <v>1086</v>
      </c>
      <c r="B988" s="13">
        <v>45219</v>
      </c>
      <c r="C988" t="s">
        <v>18</v>
      </c>
      <c r="D988" t="s">
        <v>27</v>
      </c>
      <c r="E988">
        <v>3577.07</v>
      </c>
      <c r="F988">
        <v>32</v>
      </c>
      <c r="G988" t="s">
        <v>24</v>
      </c>
      <c r="H988">
        <v>84.86</v>
      </c>
      <c r="I988">
        <v>517.17999999999995</v>
      </c>
      <c r="J988" t="s">
        <v>20</v>
      </c>
      <c r="K988">
        <v>0.2</v>
      </c>
      <c r="L988" t="s">
        <v>21</v>
      </c>
      <c r="M988" t="s">
        <v>17</v>
      </c>
      <c r="N988" t="s">
        <v>58</v>
      </c>
    </row>
    <row r="989" spans="1:14" x14ac:dyDescent="0.3">
      <c r="A989">
        <v>1090</v>
      </c>
      <c r="B989" s="13">
        <v>44930</v>
      </c>
      <c r="C989" t="s">
        <v>12</v>
      </c>
      <c r="D989" t="s">
        <v>30</v>
      </c>
      <c r="E989">
        <v>1028.3900000000001</v>
      </c>
      <c r="F989">
        <v>14</v>
      </c>
      <c r="G989" t="s">
        <v>24</v>
      </c>
      <c r="H989">
        <v>4037.21</v>
      </c>
      <c r="I989">
        <v>4323.71</v>
      </c>
      <c r="J989" t="s">
        <v>20</v>
      </c>
      <c r="K989">
        <v>0.27</v>
      </c>
      <c r="L989" t="s">
        <v>21</v>
      </c>
      <c r="M989" t="s">
        <v>29</v>
      </c>
      <c r="N989" t="s">
        <v>72</v>
      </c>
    </row>
    <row r="990" spans="1:14" x14ac:dyDescent="0.3">
      <c r="A990">
        <v>1044</v>
      </c>
      <c r="B990" s="13">
        <v>45146</v>
      </c>
      <c r="C990" t="s">
        <v>26</v>
      </c>
      <c r="D990" t="s">
        <v>30</v>
      </c>
      <c r="E990">
        <v>4912.6899999999996</v>
      </c>
      <c r="F990">
        <v>18</v>
      </c>
      <c r="G990" t="s">
        <v>14</v>
      </c>
      <c r="H990">
        <v>430.14</v>
      </c>
      <c r="I990">
        <v>641.17999999999995</v>
      </c>
      <c r="J990" t="s">
        <v>15</v>
      </c>
      <c r="K990">
        <v>0.13</v>
      </c>
      <c r="L990" t="s">
        <v>16</v>
      </c>
      <c r="M990" t="s">
        <v>29</v>
      </c>
      <c r="N990" t="s">
        <v>71</v>
      </c>
    </row>
    <row r="991" spans="1:14" x14ac:dyDescent="0.3">
      <c r="A991">
        <v>1025</v>
      </c>
      <c r="B991" s="13">
        <v>45290</v>
      </c>
      <c r="C991" t="s">
        <v>18</v>
      </c>
      <c r="D991" t="s">
        <v>19</v>
      </c>
      <c r="E991">
        <v>9215.32</v>
      </c>
      <c r="F991">
        <v>28</v>
      </c>
      <c r="G991" t="s">
        <v>28</v>
      </c>
      <c r="H991">
        <v>2097.84</v>
      </c>
      <c r="I991" s="14" t="s">
        <v>70</v>
      </c>
      <c r="J991" t="s">
        <v>15</v>
      </c>
      <c r="K991">
        <v>0.13</v>
      </c>
      <c r="L991" t="s">
        <v>21</v>
      </c>
      <c r="M991" t="s">
        <v>17</v>
      </c>
      <c r="N991" t="s">
        <v>56</v>
      </c>
    </row>
    <row r="992" spans="1:14" x14ac:dyDescent="0.3">
      <c r="A992">
        <v>1017</v>
      </c>
      <c r="B992" s="13">
        <v>44946</v>
      </c>
      <c r="C992" t="s">
        <v>23</v>
      </c>
      <c r="D992" t="s">
        <v>13</v>
      </c>
      <c r="E992">
        <v>496.59</v>
      </c>
      <c r="F992">
        <v>29</v>
      </c>
      <c r="G992" t="s">
        <v>14</v>
      </c>
      <c r="H992">
        <v>3410.49</v>
      </c>
      <c r="I992">
        <v>3481.72</v>
      </c>
      <c r="J992" t="s">
        <v>15</v>
      </c>
      <c r="K992">
        <v>0.24</v>
      </c>
      <c r="L992" t="s">
        <v>25</v>
      </c>
      <c r="M992" t="s">
        <v>17</v>
      </c>
      <c r="N992" t="s">
        <v>69</v>
      </c>
    </row>
    <row r="993" spans="1:14" x14ac:dyDescent="0.3">
      <c r="A993">
        <v>1013</v>
      </c>
      <c r="B993" s="13">
        <v>45078</v>
      </c>
      <c r="C993" t="s">
        <v>31</v>
      </c>
      <c r="D993" t="s">
        <v>13</v>
      </c>
      <c r="E993">
        <v>2985.46</v>
      </c>
      <c r="F993">
        <v>16</v>
      </c>
      <c r="G993" t="s">
        <v>24</v>
      </c>
      <c r="H993">
        <v>1222.1500000000001</v>
      </c>
      <c r="I993" s="14" t="s">
        <v>68</v>
      </c>
      <c r="J993" t="s">
        <v>20</v>
      </c>
      <c r="K993">
        <v>0.03</v>
      </c>
      <c r="L993" t="s">
        <v>21</v>
      </c>
      <c r="M993" t="s">
        <v>17</v>
      </c>
      <c r="N993" t="s">
        <v>67</v>
      </c>
    </row>
    <row r="994" spans="1:14" x14ac:dyDescent="0.3">
      <c r="A994">
        <v>1084</v>
      </c>
      <c r="B994" s="13">
        <v>44976</v>
      </c>
      <c r="C994" t="s">
        <v>18</v>
      </c>
      <c r="D994" t="s">
        <v>19</v>
      </c>
      <c r="E994">
        <v>2154.66</v>
      </c>
      <c r="F994">
        <v>35</v>
      </c>
      <c r="G994" t="s">
        <v>22</v>
      </c>
      <c r="H994">
        <v>465.61</v>
      </c>
      <c r="I994" s="14" t="s">
        <v>66</v>
      </c>
      <c r="J994" t="s">
        <v>15</v>
      </c>
      <c r="K994">
        <v>0.16</v>
      </c>
      <c r="L994" t="s">
        <v>25</v>
      </c>
      <c r="M994" t="s">
        <v>29</v>
      </c>
      <c r="N994" t="s">
        <v>56</v>
      </c>
    </row>
    <row r="995" spans="1:14" x14ac:dyDescent="0.3">
      <c r="A995">
        <v>1025</v>
      </c>
      <c r="B995" s="13">
        <v>45103</v>
      </c>
      <c r="C995" t="s">
        <v>18</v>
      </c>
      <c r="D995" t="s">
        <v>30</v>
      </c>
      <c r="E995">
        <v>2457.65</v>
      </c>
      <c r="F995">
        <v>47</v>
      </c>
      <c r="G995" t="s">
        <v>24</v>
      </c>
      <c r="H995">
        <v>3861.61</v>
      </c>
      <c r="I995" s="14" t="s">
        <v>65</v>
      </c>
      <c r="J995" t="s">
        <v>15</v>
      </c>
      <c r="K995">
        <v>0.25</v>
      </c>
      <c r="L995" t="s">
        <v>21</v>
      </c>
      <c r="M995" t="s">
        <v>29</v>
      </c>
      <c r="N995" t="s">
        <v>64</v>
      </c>
    </row>
    <row r="996" spans="1:14" x14ac:dyDescent="0.3">
      <c r="A996">
        <v>1068</v>
      </c>
      <c r="B996" s="13">
        <v>45022</v>
      </c>
      <c r="C996" t="s">
        <v>26</v>
      </c>
      <c r="D996" t="s">
        <v>27</v>
      </c>
      <c r="E996">
        <v>9093.5</v>
      </c>
      <c r="F996">
        <v>31</v>
      </c>
      <c r="G996" t="s">
        <v>14</v>
      </c>
      <c r="H996">
        <v>3169.37</v>
      </c>
      <c r="I996">
        <v>3304.15</v>
      </c>
      <c r="J996" t="s">
        <v>20</v>
      </c>
      <c r="K996">
        <v>0.25</v>
      </c>
      <c r="L996" t="s">
        <v>21</v>
      </c>
      <c r="M996" t="s">
        <v>17</v>
      </c>
      <c r="N996" t="s">
        <v>63</v>
      </c>
    </row>
    <row r="997" spans="1:14" x14ac:dyDescent="0.3">
      <c r="A997">
        <v>1010</v>
      </c>
      <c r="B997" s="13">
        <v>45031</v>
      </c>
      <c r="C997" t="s">
        <v>31</v>
      </c>
      <c r="D997" t="s">
        <v>30</v>
      </c>
      <c r="E997">
        <v>4733.88</v>
      </c>
      <c r="F997">
        <v>4</v>
      </c>
      <c r="G997" t="s">
        <v>22</v>
      </c>
      <c r="H997">
        <v>4943.03</v>
      </c>
      <c r="I997">
        <v>5442.15</v>
      </c>
      <c r="J997" t="s">
        <v>20</v>
      </c>
      <c r="K997">
        <v>0.28999999999999998</v>
      </c>
      <c r="L997" t="s">
        <v>16</v>
      </c>
      <c r="M997" t="s">
        <v>29</v>
      </c>
      <c r="N997" t="s">
        <v>62</v>
      </c>
    </row>
    <row r="998" spans="1:14" x14ac:dyDescent="0.3">
      <c r="A998">
        <v>1067</v>
      </c>
      <c r="B998" s="13">
        <v>45176</v>
      </c>
      <c r="C998" t="s">
        <v>23</v>
      </c>
      <c r="D998" t="s">
        <v>30</v>
      </c>
      <c r="E998">
        <v>4716.3599999999997</v>
      </c>
      <c r="F998">
        <v>37</v>
      </c>
      <c r="G998" t="s">
        <v>14</v>
      </c>
      <c r="H998">
        <v>1754.32</v>
      </c>
      <c r="I998" s="14" t="s">
        <v>61</v>
      </c>
      <c r="J998" t="s">
        <v>15</v>
      </c>
      <c r="K998">
        <v>0.21</v>
      </c>
      <c r="L998" t="s">
        <v>25</v>
      </c>
      <c r="M998" t="s">
        <v>17</v>
      </c>
      <c r="N998" t="s">
        <v>60</v>
      </c>
    </row>
    <row r="999" spans="1:14" x14ac:dyDescent="0.3">
      <c r="A999">
        <v>1018</v>
      </c>
      <c r="B999" s="13">
        <v>45043</v>
      </c>
      <c r="C999" t="s">
        <v>18</v>
      </c>
      <c r="D999" t="s">
        <v>27</v>
      </c>
      <c r="E999">
        <v>7629.7</v>
      </c>
      <c r="F999">
        <v>17</v>
      </c>
      <c r="G999" t="s">
        <v>14</v>
      </c>
      <c r="H999">
        <v>355.72</v>
      </c>
      <c r="I999" s="14" t="s">
        <v>59</v>
      </c>
      <c r="J999" t="s">
        <v>20</v>
      </c>
      <c r="K999">
        <v>0.06</v>
      </c>
      <c r="L999" t="s">
        <v>25</v>
      </c>
      <c r="M999" t="s">
        <v>29</v>
      </c>
      <c r="N999" t="s">
        <v>58</v>
      </c>
    </row>
    <row r="1000" spans="1:14" x14ac:dyDescent="0.3">
      <c r="A1000">
        <v>1100</v>
      </c>
      <c r="B1000" s="13">
        <v>45280</v>
      </c>
      <c r="C1000" t="s">
        <v>18</v>
      </c>
      <c r="D1000" t="s">
        <v>19</v>
      </c>
      <c r="E1000">
        <v>1629.47</v>
      </c>
      <c r="F1000">
        <v>39</v>
      </c>
      <c r="G1000" t="s">
        <v>28</v>
      </c>
      <c r="H1000">
        <v>3685.03</v>
      </c>
      <c r="I1000" s="14" t="s">
        <v>57</v>
      </c>
      <c r="J1000" t="s">
        <v>15</v>
      </c>
      <c r="K1000">
        <v>0.01</v>
      </c>
      <c r="L1000" t="s">
        <v>25</v>
      </c>
      <c r="M1000" t="s">
        <v>29</v>
      </c>
      <c r="N1000" t="s">
        <v>56</v>
      </c>
    </row>
    <row r="1001" spans="1:14" x14ac:dyDescent="0.3">
      <c r="A1001">
        <v>1086</v>
      </c>
      <c r="B1001" s="13">
        <v>45154</v>
      </c>
      <c r="C1001" t="s">
        <v>26</v>
      </c>
      <c r="D1001" t="s">
        <v>13</v>
      </c>
      <c r="E1001">
        <v>4923.93</v>
      </c>
      <c r="F1001">
        <v>48</v>
      </c>
      <c r="G1001" t="s">
        <v>22</v>
      </c>
      <c r="H1001">
        <v>2632.58</v>
      </c>
      <c r="I1001">
        <v>2926.68</v>
      </c>
      <c r="J1001" t="s">
        <v>20</v>
      </c>
      <c r="K1001">
        <v>0.14000000000000001</v>
      </c>
      <c r="L1001" t="s">
        <v>16</v>
      </c>
      <c r="M1001" t="s">
        <v>29</v>
      </c>
      <c r="N1001"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0FB06-3334-4A02-8D1C-452192315DA7}">
  <dimension ref="A1:P1001"/>
  <sheetViews>
    <sheetView zoomScale="82" workbookViewId="0">
      <selection activeCell="V3" sqref="V3"/>
    </sheetView>
  </sheetViews>
  <sheetFormatPr defaultRowHeight="14.4" x14ac:dyDescent="0.3"/>
  <cols>
    <col min="1" max="1" width="12.6640625" bestFit="1" customWidth="1"/>
    <col min="2" max="2" width="11.5546875" style="2" bestFit="1" customWidth="1"/>
    <col min="3" max="3" width="11.6640625" bestFit="1" customWidth="1"/>
    <col min="4" max="4" width="9" bestFit="1" customWidth="1"/>
    <col min="5" max="5" width="18.5546875" bestFit="1" customWidth="1"/>
    <col min="6" max="6" width="16.5546875" bestFit="1" customWidth="1"/>
    <col min="7" max="7" width="18.6640625" bestFit="1" customWidth="1"/>
    <col min="8" max="8" width="15.44140625" bestFit="1" customWidth="1"/>
    <col min="9" max="9" width="12.77734375" style="4" bestFit="1" customWidth="1"/>
    <col min="10" max="10" width="13.21875" style="4" bestFit="1" customWidth="1"/>
    <col min="11" max="11" width="15.33203125" bestFit="1" customWidth="1"/>
    <col min="12" max="12" width="10.5546875" style="3" bestFit="1" customWidth="1"/>
    <col min="13" max="13" width="12.109375" style="3" bestFit="1" customWidth="1"/>
    <col min="14" max="15" width="13.88671875" style="4" bestFit="1" customWidth="1"/>
    <col min="16" max="16" width="14.33203125" style="3" bestFit="1" customWidth="1"/>
    <col min="17" max="17" width="15.44140625" bestFit="1" customWidth="1"/>
  </cols>
  <sheetData>
    <row r="1" spans="1:16" x14ac:dyDescent="0.3">
      <c r="A1" t="s">
        <v>0</v>
      </c>
      <c r="B1" s="2" t="s">
        <v>1</v>
      </c>
      <c r="C1" t="s">
        <v>2</v>
      </c>
      <c r="D1" t="s">
        <v>3</v>
      </c>
      <c r="E1" t="s">
        <v>4</v>
      </c>
      <c r="F1" t="s">
        <v>5</v>
      </c>
      <c r="G1" t="s">
        <v>6</v>
      </c>
      <c r="H1" t="s">
        <v>7</v>
      </c>
      <c r="I1" s="4" t="s">
        <v>8</v>
      </c>
      <c r="J1" s="4" t="s">
        <v>9</v>
      </c>
      <c r="K1" t="s">
        <v>10</v>
      </c>
      <c r="L1" s="3" t="s">
        <v>11</v>
      </c>
      <c r="M1" t="s">
        <v>32</v>
      </c>
      <c r="N1" s="4" t="s">
        <v>33</v>
      </c>
      <c r="O1" s="4" t="s">
        <v>34</v>
      </c>
      <c r="P1" s="3" t="s">
        <v>35</v>
      </c>
    </row>
    <row r="2" spans="1:16" x14ac:dyDescent="0.3">
      <c r="A2">
        <v>1018</v>
      </c>
      <c r="B2" s="2">
        <v>45292</v>
      </c>
      <c r="C2" s="1" t="s">
        <v>26</v>
      </c>
      <c r="D2" s="1" t="s">
        <v>19</v>
      </c>
      <c r="E2" s="1" t="s">
        <v>28</v>
      </c>
      <c r="F2" s="1" t="s">
        <v>15</v>
      </c>
      <c r="G2" s="1" t="s">
        <v>25</v>
      </c>
      <c r="H2" s="1" t="s">
        <v>29</v>
      </c>
      <c r="I2" s="4">
        <v>1362.78</v>
      </c>
      <c r="J2" s="4">
        <v>1729.81</v>
      </c>
      <c r="K2">
        <v>24</v>
      </c>
      <c r="L2" s="3">
        <v>0.28999999999999998</v>
      </c>
      <c r="M2" s="4">
        <v>32706.720000000001</v>
      </c>
      <c r="N2" s="4">
        <v>41508.480000000003</v>
      </c>
      <c r="O2" s="4">
        <v>8801.76</v>
      </c>
      <c r="P2" s="3">
        <v>0.212047273231879</v>
      </c>
    </row>
    <row r="3" spans="1:16" x14ac:dyDescent="0.3">
      <c r="A3">
        <v>1078</v>
      </c>
      <c r="B3" s="2">
        <v>45292</v>
      </c>
      <c r="C3" s="1" t="s">
        <v>18</v>
      </c>
      <c r="D3" s="1" t="s">
        <v>13</v>
      </c>
      <c r="E3" s="1" t="s">
        <v>22</v>
      </c>
      <c r="F3" s="1" t="s">
        <v>20</v>
      </c>
      <c r="G3" s="1" t="s">
        <v>16</v>
      </c>
      <c r="H3" s="1" t="s">
        <v>17</v>
      </c>
      <c r="I3" s="4">
        <v>63.41</v>
      </c>
      <c r="J3" s="4">
        <v>314.93</v>
      </c>
      <c r="K3">
        <v>42</v>
      </c>
      <c r="L3" s="3">
        <v>0.03</v>
      </c>
      <c r="M3" s="4">
        <v>2663.22</v>
      </c>
      <c r="N3" s="4">
        <v>13225.8</v>
      </c>
      <c r="O3" s="4">
        <v>10562.58</v>
      </c>
      <c r="P3" s="3">
        <v>0.79863448713877405</v>
      </c>
    </row>
    <row r="4" spans="1:16" x14ac:dyDescent="0.3">
      <c r="A4">
        <v>1098</v>
      </c>
      <c r="B4" s="2">
        <v>45292</v>
      </c>
      <c r="C4" s="1" t="s">
        <v>23</v>
      </c>
      <c r="D4" s="1" t="s">
        <v>27</v>
      </c>
      <c r="E4" s="1" t="s">
        <v>14</v>
      </c>
      <c r="F4" s="1" t="s">
        <v>20</v>
      </c>
      <c r="G4" s="1" t="s">
        <v>25</v>
      </c>
      <c r="H4" s="1" t="s">
        <v>29</v>
      </c>
      <c r="I4" s="4">
        <v>213.41</v>
      </c>
      <c r="J4" s="4">
        <v>503.36</v>
      </c>
      <c r="K4">
        <v>11</v>
      </c>
      <c r="L4" s="3">
        <v>0.27</v>
      </c>
      <c r="M4" s="4">
        <v>2347.5100000000002</v>
      </c>
      <c r="N4" s="4">
        <v>5533.99</v>
      </c>
      <c r="O4" s="4">
        <v>3186.48</v>
      </c>
      <c r="P4" s="3">
        <v>0.57580154644298198</v>
      </c>
    </row>
    <row r="5" spans="1:16" x14ac:dyDescent="0.3">
      <c r="A5">
        <v>1003</v>
      </c>
      <c r="B5" s="2">
        <v>45291</v>
      </c>
      <c r="C5" s="1" t="s">
        <v>26</v>
      </c>
      <c r="D5" s="1" t="s">
        <v>27</v>
      </c>
      <c r="E5" s="1" t="s">
        <v>24</v>
      </c>
      <c r="F5" s="1" t="s">
        <v>15</v>
      </c>
      <c r="G5" s="1" t="s">
        <v>16</v>
      </c>
      <c r="H5" s="1" t="s">
        <v>29</v>
      </c>
      <c r="I5" s="4">
        <v>4190.28</v>
      </c>
      <c r="J5" s="4">
        <v>4270.6499999999996</v>
      </c>
      <c r="K5">
        <v>30</v>
      </c>
      <c r="L5" s="3">
        <v>0.2</v>
      </c>
      <c r="M5" s="4">
        <v>125708.4</v>
      </c>
      <c r="N5" s="4">
        <v>128113.5</v>
      </c>
      <c r="O5" s="4">
        <v>2405.1</v>
      </c>
      <c r="P5" s="3">
        <v>1.8773197204041699E-2</v>
      </c>
    </row>
    <row r="6" spans="1:16" x14ac:dyDescent="0.3">
      <c r="A6">
        <v>1058</v>
      </c>
      <c r="B6" s="2">
        <v>45291</v>
      </c>
      <c r="C6" s="1" t="s">
        <v>26</v>
      </c>
      <c r="D6" s="1" t="s">
        <v>19</v>
      </c>
      <c r="E6" s="1" t="s">
        <v>14</v>
      </c>
      <c r="F6" s="1" t="s">
        <v>15</v>
      </c>
      <c r="G6" s="1" t="s">
        <v>25</v>
      </c>
      <c r="H6" s="1" t="s">
        <v>29</v>
      </c>
      <c r="I6" s="4">
        <v>1910.47</v>
      </c>
      <c r="J6" s="4">
        <v>2217.8000000000002</v>
      </c>
      <c r="K6">
        <v>44</v>
      </c>
      <c r="L6" s="3">
        <v>0.22</v>
      </c>
      <c r="M6" s="4">
        <v>84060.68</v>
      </c>
      <c r="N6" s="4">
        <v>97573.52</v>
      </c>
      <c r="O6" s="4">
        <v>13512.84</v>
      </c>
      <c r="P6" s="3">
        <v>0.138488803109696</v>
      </c>
    </row>
    <row r="7" spans="1:16" x14ac:dyDescent="0.3">
      <c r="A7">
        <v>1086</v>
      </c>
      <c r="B7" s="2">
        <v>45291</v>
      </c>
      <c r="C7" s="1" t="s">
        <v>26</v>
      </c>
      <c r="D7" s="1" t="s">
        <v>27</v>
      </c>
      <c r="E7" s="1" t="s">
        <v>14</v>
      </c>
      <c r="F7" s="1" t="s">
        <v>20</v>
      </c>
      <c r="G7" s="1" t="s">
        <v>16</v>
      </c>
      <c r="H7" s="1" t="s">
        <v>17</v>
      </c>
      <c r="I7" s="4">
        <v>3419.33</v>
      </c>
      <c r="J7" s="4">
        <v>3890.36</v>
      </c>
      <c r="K7">
        <v>33</v>
      </c>
      <c r="L7" s="3">
        <v>0.21</v>
      </c>
      <c r="M7" s="4">
        <v>112837.89</v>
      </c>
      <c r="N7" s="4">
        <v>128374.95</v>
      </c>
      <c r="O7" s="4">
        <v>15537.06</v>
      </c>
      <c r="P7" s="3">
        <v>0.12102875210467499</v>
      </c>
    </row>
    <row r="8" spans="1:16" x14ac:dyDescent="0.3">
      <c r="A8">
        <v>1090</v>
      </c>
      <c r="B8" s="2">
        <v>45291</v>
      </c>
      <c r="C8" s="1" t="s">
        <v>12</v>
      </c>
      <c r="D8" s="1" t="s">
        <v>19</v>
      </c>
      <c r="E8" s="1" t="s">
        <v>14</v>
      </c>
      <c r="F8" s="1" t="s">
        <v>15</v>
      </c>
      <c r="G8" s="1" t="s">
        <v>16</v>
      </c>
      <c r="H8" s="1" t="s">
        <v>17</v>
      </c>
      <c r="I8" s="4">
        <v>4665.12</v>
      </c>
      <c r="J8" s="4">
        <v>4675.8999999999996</v>
      </c>
      <c r="K8">
        <v>46</v>
      </c>
      <c r="L8" s="3">
        <v>0.19</v>
      </c>
      <c r="M8" s="4">
        <v>214595.52</v>
      </c>
      <c r="N8" s="4">
        <v>215082.66</v>
      </c>
      <c r="O8" s="4">
        <v>487.14</v>
      </c>
      <c r="P8" s="3">
        <v>2.2648966680996001E-3</v>
      </c>
    </row>
    <row r="9" spans="1:16" x14ac:dyDescent="0.3">
      <c r="A9">
        <v>1094</v>
      </c>
      <c r="B9" s="2">
        <v>45291</v>
      </c>
      <c r="C9" s="1" t="s">
        <v>23</v>
      </c>
      <c r="D9" s="1" t="s">
        <v>27</v>
      </c>
      <c r="E9" s="1" t="s">
        <v>22</v>
      </c>
      <c r="F9" s="1" t="s">
        <v>20</v>
      </c>
      <c r="G9" s="1" t="s">
        <v>21</v>
      </c>
      <c r="H9" s="1" t="s">
        <v>29</v>
      </c>
      <c r="I9" s="4">
        <v>4111.93</v>
      </c>
      <c r="J9" s="4">
        <v>4338.67</v>
      </c>
      <c r="K9">
        <v>15</v>
      </c>
      <c r="L9" s="3">
        <v>0.26</v>
      </c>
      <c r="M9" s="4">
        <v>61678.95</v>
      </c>
      <c r="N9" s="4">
        <v>65076.15</v>
      </c>
      <c r="O9" s="4">
        <v>3397.2</v>
      </c>
      <c r="P9" s="3">
        <v>5.2203457026883102E-2</v>
      </c>
    </row>
    <row r="10" spans="1:16" x14ac:dyDescent="0.3">
      <c r="A10">
        <v>1003</v>
      </c>
      <c r="B10" s="2">
        <v>45290</v>
      </c>
      <c r="C10" s="1" t="s">
        <v>26</v>
      </c>
      <c r="D10" s="1" t="s">
        <v>13</v>
      </c>
      <c r="E10" s="1" t="s">
        <v>24</v>
      </c>
      <c r="F10" s="1" t="s">
        <v>20</v>
      </c>
      <c r="G10" s="1" t="s">
        <v>16</v>
      </c>
      <c r="H10" s="1" t="s">
        <v>17</v>
      </c>
      <c r="I10" s="4">
        <v>395.11</v>
      </c>
      <c r="J10" s="4">
        <v>676.66</v>
      </c>
      <c r="K10">
        <v>17</v>
      </c>
      <c r="L10" s="3">
        <v>0.25</v>
      </c>
      <c r="M10" s="4">
        <v>6716.87</v>
      </c>
      <c r="N10" s="4">
        <v>11498.97</v>
      </c>
      <c r="O10" s="4">
        <v>4782.1000000000004</v>
      </c>
      <c r="P10" s="3">
        <v>0.41587203027749398</v>
      </c>
    </row>
    <row r="11" spans="1:16" x14ac:dyDescent="0.3">
      <c r="A11">
        <v>1025</v>
      </c>
      <c r="B11" s="2">
        <v>45290</v>
      </c>
      <c r="C11" s="1" t="s">
        <v>18</v>
      </c>
      <c r="D11" s="1" t="s">
        <v>19</v>
      </c>
      <c r="E11" s="1" t="s">
        <v>28</v>
      </c>
      <c r="F11" s="1" t="s">
        <v>15</v>
      </c>
      <c r="G11" s="1" t="s">
        <v>21</v>
      </c>
      <c r="H11" s="1" t="s">
        <v>17</v>
      </c>
      <c r="I11" s="4">
        <v>2097.84</v>
      </c>
      <c r="J11" s="4">
        <v>2270.9899999999998</v>
      </c>
      <c r="K11">
        <v>28</v>
      </c>
      <c r="L11" s="3">
        <v>0.13</v>
      </c>
      <c r="M11" s="4">
        <v>58739.519999999997</v>
      </c>
      <c r="N11" s="4">
        <v>63584.08</v>
      </c>
      <c r="O11" s="4">
        <v>4844.5600000000004</v>
      </c>
      <c r="P11" s="3">
        <v>7.6191398853297898E-2</v>
      </c>
    </row>
    <row r="12" spans="1:16" x14ac:dyDescent="0.3">
      <c r="A12">
        <v>1065</v>
      </c>
      <c r="B12" s="2">
        <v>45290</v>
      </c>
      <c r="C12" s="1" t="s">
        <v>18</v>
      </c>
      <c r="D12" s="1" t="s">
        <v>27</v>
      </c>
      <c r="E12" s="1" t="s">
        <v>14</v>
      </c>
      <c r="F12" s="1" t="s">
        <v>15</v>
      </c>
      <c r="G12" s="1" t="s">
        <v>16</v>
      </c>
      <c r="H12" s="1" t="s">
        <v>17</v>
      </c>
      <c r="I12" s="4">
        <v>335.82</v>
      </c>
      <c r="J12" s="4">
        <v>498.31</v>
      </c>
      <c r="K12">
        <v>9</v>
      </c>
      <c r="L12" s="3">
        <v>0.26</v>
      </c>
      <c r="M12" s="4">
        <v>3022.38</v>
      </c>
      <c r="N12" s="4">
        <v>4482.45</v>
      </c>
      <c r="O12" s="4">
        <v>1460.07</v>
      </c>
      <c r="P12" s="3">
        <v>0.32573034835859899</v>
      </c>
    </row>
    <row r="13" spans="1:16" x14ac:dyDescent="0.3">
      <c r="A13">
        <v>1099</v>
      </c>
      <c r="B13" s="2">
        <v>45290</v>
      </c>
      <c r="C13" s="1" t="s">
        <v>23</v>
      </c>
      <c r="D13" s="1" t="s">
        <v>19</v>
      </c>
      <c r="E13" s="1" t="s">
        <v>28</v>
      </c>
      <c r="F13" s="1" t="s">
        <v>15</v>
      </c>
      <c r="G13" s="1" t="s">
        <v>21</v>
      </c>
      <c r="H13" s="1" t="s">
        <v>17</v>
      </c>
      <c r="I13" s="4">
        <v>3124.87</v>
      </c>
      <c r="J13" s="4">
        <v>3383.67</v>
      </c>
      <c r="K13">
        <v>29</v>
      </c>
      <c r="L13" s="3">
        <v>0.05</v>
      </c>
      <c r="M13" s="4">
        <v>90621.23</v>
      </c>
      <c r="N13" s="4">
        <v>98124.98</v>
      </c>
      <c r="O13" s="4">
        <v>7503.75</v>
      </c>
      <c r="P13" s="3">
        <v>7.6471353166135694E-2</v>
      </c>
    </row>
    <row r="14" spans="1:16" x14ac:dyDescent="0.3">
      <c r="A14">
        <v>1022</v>
      </c>
      <c r="B14" s="2">
        <v>45289</v>
      </c>
      <c r="C14" s="1" t="s">
        <v>18</v>
      </c>
      <c r="D14" s="1" t="s">
        <v>30</v>
      </c>
      <c r="E14" s="1" t="s">
        <v>24</v>
      </c>
      <c r="F14" s="1" t="s">
        <v>15</v>
      </c>
      <c r="G14" s="1" t="s">
        <v>16</v>
      </c>
      <c r="H14" s="1" t="s">
        <v>29</v>
      </c>
      <c r="I14" s="4">
        <v>1830.61</v>
      </c>
      <c r="J14" s="4">
        <v>2044.04</v>
      </c>
      <c r="K14">
        <v>10</v>
      </c>
      <c r="L14" s="3">
        <v>0.11</v>
      </c>
      <c r="M14" s="4">
        <v>18306.099999999999</v>
      </c>
      <c r="N14" s="4">
        <v>20439.3</v>
      </c>
      <c r="O14" s="4">
        <v>2133.1999999999998</v>
      </c>
      <c r="P14" s="3">
        <v>0.104367566403938</v>
      </c>
    </row>
    <row r="15" spans="1:16" x14ac:dyDescent="0.3">
      <c r="A15">
        <v>1024</v>
      </c>
      <c r="B15" s="2">
        <v>45289</v>
      </c>
      <c r="C15" s="1" t="s">
        <v>12</v>
      </c>
      <c r="D15" s="1" t="s">
        <v>30</v>
      </c>
      <c r="E15" s="1" t="s">
        <v>24</v>
      </c>
      <c r="F15" s="1" t="s">
        <v>20</v>
      </c>
      <c r="G15" s="1" t="s">
        <v>21</v>
      </c>
      <c r="H15" s="1" t="s">
        <v>17</v>
      </c>
      <c r="I15" s="4">
        <v>3417.9</v>
      </c>
      <c r="J15" s="4">
        <v>3714.52</v>
      </c>
      <c r="K15">
        <v>5</v>
      </c>
      <c r="L15" s="3">
        <v>0.27</v>
      </c>
      <c r="M15" s="4">
        <v>17089.5</v>
      </c>
      <c r="N15" s="4">
        <v>18571.25</v>
      </c>
      <c r="O15" s="4">
        <v>1481.75</v>
      </c>
      <c r="P15" s="3">
        <v>7.9787305647169696E-2</v>
      </c>
    </row>
    <row r="16" spans="1:16" x14ac:dyDescent="0.3">
      <c r="A16">
        <v>1049</v>
      </c>
      <c r="B16" s="2">
        <v>45289</v>
      </c>
      <c r="C16" s="1" t="s">
        <v>31</v>
      </c>
      <c r="D16" s="1" t="s">
        <v>27</v>
      </c>
      <c r="E16" s="1" t="s">
        <v>22</v>
      </c>
      <c r="F16" s="1" t="s">
        <v>20</v>
      </c>
      <c r="G16" s="1" t="s">
        <v>16</v>
      </c>
      <c r="H16" s="1" t="s">
        <v>17</v>
      </c>
      <c r="I16" s="4">
        <v>2945.92</v>
      </c>
      <c r="J16" s="4">
        <v>3381.22</v>
      </c>
      <c r="K16">
        <v>38</v>
      </c>
      <c r="L16" s="3">
        <v>0.23</v>
      </c>
      <c r="M16" s="4">
        <v>111944.96000000001</v>
      </c>
      <c r="N16" s="4">
        <v>128477.62</v>
      </c>
      <c r="O16" s="4">
        <v>16532.66</v>
      </c>
      <c r="P16" s="3">
        <v>0.12868124425094399</v>
      </c>
    </row>
    <row r="17" spans="1:16" x14ac:dyDescent="0.3">
      <c r="A17">
        <v>1058</v>
      </c>
      <c r="B17" s="2">
        <v>45289</v>
      </c>
      <c r="C17" s="1" t="s">
        <v>18</v>
      </c>
      <c r="D17" s="1" t="s">
        <v>30</v>
      </c>
      <c r="E17" s="1" t="s">
        <v>28</v>
      </c>
      <c r="F17" s="1" t="s">
        <v>20</v>
      </c>
      <c r="G17" s="1" t="s">
        <v>21</v>
      </c>
      <c r="H17" s="1" t="s">
        <v>17</v>
      </c>
      <c r="I17" s="4">
        <v>3160.61</v>
      </c>
      <c r="J17" s="4">
        <v>3273.22</v>
      </c>
      <c r="K17">
        <v>34</v>
      </c>
      <c r="L17" s="3">
        <v>0.08</v>
      </c>
      <c r="M17" s="4">
        <v>107460.74</v>
      </c>
      <c r="N17" s="4">
        <v>111286.76</v>
      </c>
      <c r="O17" s="4">
        <v>3826.02</v>
      </c>
      <c r="P17" s="3">
        <v>3.4379830987981003E-2</v>
      </c>
    </row>
    <row r="18" spans="1:16" x14ac:dyDescent="0.3">
      <c r="A18">
        <v>1065</v>
      </c>
      <c r="B18" s="2">
        <v>45288</v>
      </c>
      <c r="C18" s="1" t="s">
        <v>18</v>
      </c>
      <c r="D18" s="1" t="s">
        <v>19</v>
      </c>
      <c r="E18" s="1" t="s">
        <v>22</v>
      </c>
      <c r="F18" s="1" t="s">
        <v>15</v>
      </c>
      <c r="G18" s="1" t="s">
        <v>25</v>
      </c>
      <c r="H18" s="1" t="s">
        <v>17</v>
      </c>
      <c r="I18" s="4">
        <v>4334.58</v>
      </c>
      <c r="J18" s="4">
        <v>4431.04</v>
      </c>
      <c r="K18">
        <v>18</v>
      </c>
      <c r="L18" s="3">
        <v>0.02</v>
      </c>
      <c r="M18" s="4">
        <v>78022.44</v>
      </c>
      <c r="N18" s="4">
        <v>79758.36</v>
      </c>
      <c r="O18" s="4">
        <v>1735.92</v>
      </c>
      <c r="P18" s="3">
        <v>2.1764740398373301E-2</v>
      </c>
    </row>
    <row r="19" spans="1:16" x14ac:dyDescent="0.3">
      <c r="A19">
        <v>1086</v>
      </c>
      <c r="B19" s="2">
        <v>45288</v>
      </c>
      <c r="C19" s="1" t="s">
        <v>23</v>
      </c>
      <c r="D19" s="1" t="s">
        <v>19</v>
      </c>
      <c r="E19" s="1" t="s">
        <v>24</v>
      </c>
      <c r="F19" s="1" t="s">
        <v>20</v>
      </c>
      <c r="G19" s="1" t="s">
        <v>21</v>
      </c>
      <c r="H19" s="1" t="s">
        <v>29</v>
      </c>
      <c r="I19" s="4">
        <v>83.86</v>
      </c>
      <c r="J19" s="4">
        <v>526.14</v>
      </c>
      <c r="K19">
        <v>46</v>
      </c>
      <c r="L19" s="3">
        <v>0.11</v>
      </c>
      <c r="M19" s="4">
        <v>3857.56</v>
      </c>
      <c r="N19" s="4">
        <v>24197.38</v>
      </c>
      <c r="O19" s="4">
        <v>20339.82</v>
      </c>
      <c r="P19" s="3">
        <v>0.840579434633006</v>
      </c>
    </row>
    <row r="20" spans="1:16" x14ac:dyDescent="0.3">
      <c r="A20">
        <v>1056</v>
      </c>
      <c r="B20" s="2">
        <v>45287</v>
      </c>
      <c r="C20" s="1" t="s">
        <v>23</v>
      </c>
      <c r="D20" s="1" t="s">
        <v>13</v>
      </c>
      <c r="E20" s="1" t="s">
        <v>22</v>
      </c>
      <c r="F20" s="1" t="s">
        <v>20</v>
      </c>
      <c r="G20" s="1" t="s">
        <v>21</v>
      </c>
      <c r="H20" s="1" t="s">
        <v>17</v>
      </c>
      <c r="I20" s="4">
        <v>1612.82</v>
      </c>
      <c r="J20" s="4">
        <v>1647.25</v>
      </c>
      <c r="K20">
        <v>4</v>
      </c>
      <c r="L20" s="3">
        <v>0.04</v>
      </c>
      <c r="M20" s="4">
        <v>6451.28</v>
      </c>
      <c r="N20" s="4">
        <v>6588.84</v>
      </c>
      <c r="O20" s="4">
        <v>137.56</v>
      </c>
      <c r="P20" s="3">
        <v>2.0877726580096002E-2</v>
      </c>
    </row>
    <row r="21" spans="1:16" x14ac:dyDescent="0.3">
      <c r="A21">
        <v>1057</v>
      </c>
      <c r="B21" s="2">
        <v>45287</v>
      </c>
      <c r="C21" s="1" t="s">
        <v>23</v>
      </c>
      <c r="D21" s="1" t="s">
        <v>27</v>
      </c>
      <c r="E21" s="1" t="s">
        <v>24</v>
      </c>
      <c r="F21" s="1" t="s">
        <v>20</v>
      </c>
      <c r="G21" s="1" t="s">
        <v>21</v>
      </c>
      <c r="H21" s="1" t="s">
        <v>29</v>
      </c>
      <c r="I21" s="4">
        <v>2403.16</v>
      </c>
      <c r="J21" s="4">
        <v>2453.35</v>
      </c>
      <c r="K21">
        <v>31</v>
      </c>
      <c r="L21" s="3">
        <v>0.19</v>
      </c>
      <c r="M21" s="4">
        <v>74497.960000000006</v>
      </c>
      <c r="N21" s="4">
        <v>76047.960000000006</v>
      </c>
      <c r="O21" s="4">
        <v>1550</v>
      </c>
      <c r="P21" s="3">
        <v>2.0381874806372199E-2</v>
      </c>
    </row>
    <row r="22" spans="1:16" x14ac:dyDescent="0.3">
      <c r="A22">
        <v>1071</v>
      </c>
      <c r="B22" s="2">
        <v>45287</v>
      </c>
      <c r="C22" s="1" t="s">
        <v>18</v>
      </c>
      <c r="D22" s="1" t="s">
        <v>13</v>
      </c>
      <c r="E22" s="1" t="s">
        <v>22</v>
      </c>
      <c r="F22" s="1" t="s">
        <v>15</v>
      </c>
      <c r="G22" s="1" t="s">
        <v>16</v>
      </c>
      <c r="H22" s="1" t="s">
        <v>17</v>
      </c>
      <c r="I22" s="4">
        <v>1447.72</v>
      </c>
      <c r="J22" s="4">
        <v>1875.75</v>
      </c>
      <c r="K22">
        <v>40</v>
      </c>
      <c r="L22" s="3">
        <v>0.13</v>
      </c>
      <c r="M22" s="4">
        <v>57908.800000000003</v>
      </c>
      <c r="N22" s="4">
        <v>75024.800000000003</v>
      </c>
      <c r="O22" s="4">
        <v>17116</v>
      </c>
      <c r="P22" s="3">
        <v>0.22813789573581</v>
      </c>
    </row>
    <row r="23" spans="1:16" x14ac:dyDescent="0.3">
      <c r="A23">
        <v>1024</v>
      </c>
      <c r="B23" s="2">
        <v>45286</v>
      </c>
      <c r="C23" s="1" t="s">
        <v>18</v>
      </c>
      <c r="D23" s="1" t="s">
        <v>30</v>
      </c>
      <c r="E23" s="1" t="s">
        <v>24</v>
      </c>
      <c r="F23" s="1" t="s">
        <v>20</v>
      </c>
      <c r="G23" s="1" t="s">
        <v>25</v>
      </c>
      <c r="H23" s="1" t="s">
        <v>17</v>
      </c>
      <c r="I23" s="4">
        <v>4114.66</v>
      </c>
      <c r="J23" s="4">
        <v>4269.0200000000004</v>
      </c>
      <c r="K23">
        <v>17</v>
      </c>
      <c r="L23" s="3">
        <v>0.27</v>
      </c>
      <c r="M23" s="4">
        <v>69949.22</v>
      </c>
      <c r="N23" s="4">
        <v>72568.75</v>
      </c>
      <c r="O23" s="4">
        <v>2619.5300000000002</v>
      </c>
      <c r="P23" s="3">
        <v>3.6097218155197702E-2</v>
      </c>
    </row>
    <row r="24" spans="1:16" x14ac:dyDescent="0.3">
      <c r="A24">
        <v>1032</v>
      </c>
      <c r="B24" s="2">
        <v>45286</v>
      </c>
      <c r="C24" s="1" t="s">
        <v>18</v>
      </c>
      <c r="D24" s="1" t="s">
        <v>27</v>
      </c>
      <c r="E24" s="1" t="s">
        <v>14</v>
      </c>
      <c r="F24" s="1" t="s">
        <v>15</v>
      </c>
      <c r="G24" s="1" t="s">
        <v>25</v>
      </c>
      <c r="H24" s="1" t="s">
        <v>29</v>
      </c>
      <c r="I24" s="4">
        <v>4100.62</v>
      </c>
      <c r="J24" s="4">
        <v>4230</v>
      </c>
      <c r="K24">
        <v>11</v>
      </c>
      <c r="L24" s="3">
        <v>0.28999999999999998</v>
      </c>
      <c r="M24" s="4">
        <v>45106.82</v>
      </c>
      <c r="N24" s="4">
        <v>46526.81</v>
      </c>
      <c r="O24" s="4">
        <v>1419.99</v>
      </c>
      <c r="P24" s="3">
        <v>3.05198228720172E-2</v>
      </c>
    </row>
    <row r="25" spans="1:16" x14ac:dyDescent="0.3">
      <c r="A25">
        <v>1072</v>
      </c>
      <c r="B25" s="2">
        <v>45286</v>
      </c>
      <c r="C25" s="1" t="s">
        <v>31</v>
      </c>
      <c r="D25" s="1" t="s">
        <v>30</v>
      </c>
      <c r="E25" s="1" t="s">
        <v>24</v>
      </c>
      <c r="F25" s="1" t="s">
        <v>15</v>
      </c>
      <c r="G25" s="1" t="s">
        <v>25</v>
      </c>
      <c r="H25" s="1" t="s">
        <v>29</v>
      </c>
      <c r="I25" s="4">
        <v>1662.83</v>
      </c>
      <c r="J25" s="4">
        <v>2074.25</v>
      </c>
      <c r="K25">
        <v>23</v>
      </c>
      <c r="L25" s="3">
        <v>0.12</v>
      </c>
      <c r="M25" s="4">
        <v>38245.089999999997</v>
      </c>
      <c r="N25" s="4">
        <v>47704.99</v>
      </c>
      <c r="O25" s="4">
        <v>9459.9</v>
      </c>
      <c r="P25" s="3">
        <v>0.19830001012472701</v>
      </c>
    </row>
    <row r="26" spans="1:16" x14ac:dyDescent="0.3">
      <c r="A26">
        <v>1099</v>
      </c>
      <c r="B26" s="2">
        <v>45286</v>
      </c>
      <c r="C26" s="1" t="s">
        <v>12</v>
      </c>
      <c r="D26" s="1" t="s">
        <v>19</v>
      </c>
      <c r="E26" s="1" t="s">
        <v>28</v>
      </c>
      <c r="F26" s="1" t="s">
        <v>15</v>
      </c>
      <c r="G26" s="1" t="s">
        <v>25</v>
      </c>
      <c r="H26" s="1" t="s">
        <v>29</v>
      </c>
      <c r="I26" s="4">
        <v>4148.4799999999996</v>
      </c>
      <c r="J26" s="4">
        <v>4293.6899999999996</v>
      </c>
      <c r="K26">
        <v>25</v>
      </c>
      <c r="L26" s="3">
        <v>0.11</v>
      </c>
      <c r="M26" s="4">
        <v>103712</v>
      </c>
      <c r="N26" s="4">
        <v>107339.5</v>
      </c>
      <c r="O26" s="4">
        <v>3627.5</v>
      </c>
      <c r="P26" s="3">
        <v>3.3794642233287799E-2</v>
      </c>
    </row>
    <row r="27" spans="1:16" x14ac:dyDescent="0.3">
      <c r="A27">
        <v>1005</v>
      </c>
      <c r="B27" s="2">
        <v>45285</v>
      </c>
      <c r="C27" s="1" t="s">
        <v>26</v>
      </c>
      <c r="D27" s="1" t="s">
        <v>27</v>
      </c>
      <c r="E27" s="1" t="s">
        <v>24</v>
      </c>
      <c r="F27" s="1" t="s">
        <v>20</v>
      </c>
      <c r="G27" s="1" t="s">
        <v>16</v>
      </c>
      <c r="H27" s="1" t="s">
        <v>17</v>
      </c>
      <c r="I27" s="4">
        <v>2146.2399999999998</v>
      </c>
      <c r="J27" s="4">
        <v>2173.4699999999998</v>
      </c>
      <c r="K27">
        <v>28</v>
      </c>
      <c r="L27" s="3">
        <v>0.1</v>
      </c>
      <c r="M27" s="4">
        <v>60094.720000000001</v>
      </c>
      <c r="N27" s="4">
        <v>60854.36</v>
      </c>
      <c r="O27" s="4">
        <v>759.64</v>
      </c>
      <c r="P27" s="3">
        <v>1.2482918232974601E-2</v>
      </c>
    </row>
    <row r="28" spans="1:16" x14ac:dyDescent="0.3">
      <c r="A28">
        <v>1010</v>
      </c>
      <c r="B28" s="2">
        <v>45285</v>
      </c>
      <c r="C28" s="1" t="s">
        <v>18</v>
      </c>
      <c r="D28" s="1" t="s">
        <v>27</v>
      </c>
      <c r="E28" s="1" t="s">
        <v>22</v>
      </c>
      <c r="F28" s="1" t="s">
        <v>15</v>
      </c>
      <c r="G28" s="1" t="s">
        <v>25</v>
      </c>
      <c r="H28" s="1" t="s">
        <v>17</v>
      </c>
      <c r="I28" s="4">
        <v>3289.01</v>
      </c>
      <c r="J28" s="4">
        <v>3508.14</v>
      </c>
      <c r="K28">
        <v>30</v>
      </c>
      <c r="L28" s="3">
        <v>0.17</v>
      </c>
      <c r="M28" s="4">
        <v>98670.3</v>
      </c>
      <c r="N28" s="4">
        <v>105239.1</v>
      </c>
      <c r="O28" s="4">
        <v>6568.8</v>
      </c>
      <c r="P28" s="3">
        <v>6.2417865603183603E-2</v>
      </c>
    </row>
    <row r="29" spans="1:16" x14ac:dyDescent="0.3">
      <c r="A29">
        <v>1047</v>
      </c>
      <c r="B29" s="2">
        <v>45285</v>
      </c>
      <c r="C29" s="1" t="s">
        <v>18</v>
      </c>
      <c r="D29" s="1" t="s">
        <v>30</v>
      </c>
      <c r="E29" s="1" t="s">
        <v>28</v>
      </c>
      <c r="F29" s="1" t="s">
        <v>15</v>
      </c>
      <c r="G29" s="1" t="s">
        <v>16</v>
      </c>
      <c r="H29" s="1" t="s">
        <v>17</v>
      </c>
      <c r="I29" s="4">
        <v>1249.17</v>
      </c>
      <c r="J29" s="4">
        <v>1727.15</v>
      </c>
      <c r="K29">
        <v>43</v>
      </c>
      <c r="L29" s="3">
        <v>0.08</v>
      </c>
      <c r="M29" s="4">
        <v>53714.31</v>
      </c>
      <c r="N29" s="4">
        <v>74264.009999999995</v>
      </c>
      <c r="O29" s="4">
        <v>20549.7</v>
      </c>
      <c r="P29" s="3">
        <v>0.27671142455140801</v>
      </c>
    </row>
    <row r="30" spans="1:16" x14ac:dyDescent="0.3">
      <c r="A30">
        <v>1056</v>
      </c>
      <c r="B30" s="2">
        <v>45285</v>
      </c>
      <c r="C30" s="1" t="s">
        <v>23</v>
      </c>
      <c r="D30" s="1" t="s">
        <v>30</v>
      </c>
      <c r="E30" s="1" t="s">
        <v>14</v>
      </c>
      <c r="F30" s="1" t="s">
        <v>20</v>
      </c>
      <c r="G30" s="1" t="s">
        <v>25</v>
      </c>
      <c r="H30" s="1" t="s">
        <v>17</v>
      </c>
      <c r="I30" s="4">
        <v>1154.28</v>
      </c>
      <c r="J30" s="4">
        <v>1408.4</v>
      </c>
      <c r="K30">
        <v>25</v>
      </c>
      <c r="L30" s="3">
        <v>0.28999999999999998</v>
      </c>
      <c r="M30" s="4">
        <v>28857</v>
      </c>
      <c r="N30" s="4">
        <v>35202.75</v>
      </c>
      <c r="O30" s="4">
        <v>6345.75</v>
      </c>
      <c r="P30" s="3">
        <v>0.180262905596864</v>
      </c>
    </row>
    <row r="31" spans="1:16" x14ac:dyDescent="0.3">
      <c r="A31">
        <v>1089</v>
      </c>
      <c r="B31" s="2">
        <v>45285</v>
      </c>
      <c r="C31" s="1" t="s">
        <v>12</v>
      </c>
      <c r="D31" s="1" t="s">
        <v>27</v>
      </c>
      <c r="E31" s="1" t="s">
        <v>14</v>
      </c>
      <c r="F31" s="1" t="s">
        <v>15</v>
      </c>
      <c r="G31" s="1" t="s">
        <v>25</v>
      </c>
      <c r="H31" s="1" t="s">
        <v>17</v>
      </c>
      <c r="I31" s="4">
        <v>4248.5</v>
      </c>
      <c r="J31" s="4">
        <v>4706.7</v>
      </c>
      <c r="K31">
        <v>32</v>
      </c>
      <c r="L31" s="3">
        <v>0.01</v>
      </c>
      <c r="M31" s="4">
        <v>135952</v>
      </c>
      <c r="N31" s="4">
        <v>150614.07999999999</v>
      </c>
      <c r="O31" s="4">
        <v>14662.08</v>
      </c>
      <c r="P31" s="3">
        <v>9.7348667534934305E-2</v>
      </c>
    </row>
    <row r="32" spans="1:16" x14ac:dyDescent="0.3">
      <c r="A32">
        <v>1017</v>
      </c>
      <c r="B32" s="2">
        <v>45283</v>
      </c>
      <c r="C32" s="1" t="s">
        <v>26</v>
      </c>
      <c r="D32" s="1" t="s">
        <v>13</v>
      </c>
      <c r="E32" s="1" t="s">
        <v>22</v>
      </c>
      <c r="F32" s="1" t="s">
        <v>20</v>
      </c>
      <c r="G32" s="1" t="s">
        <v>16</v>
      </c>
      <c r="H32" s="1" t="s">
        <v>29</v>
      </c>
      <c r="I32" s="4">
        <v>1551.25</v>
      </c>
      <c r="J32" s="4">
        <v>1994.01</v>
      </c>
      <c r="K32">
        <v>33</v>
      </c>
      <c r="L32" s="3">
        <v>0.08</v>
      </c>
      <c r="M32" s="4">
        <v>51191.25</v>
      </c>
      <c r="N32" s="4">
        <v>65799.69</v>
      </c>
      <c r="O32" s="4">
        <v>14608.44</v>
      </c>
      <c r="P32" s="3">
        <v>0.22201381191917499</v>
      </c>
    </row>
    <row r="33" spans="1:16" x14ac:dyDescent="0.3">
      <c r="A33">
        <v>1023</v>
      </c>
      <c r="B33" s="2">
        <v>45283</v>
      </c>
      <c r="C33" s="1" t="s">
        <v>23</v>
      </c>
      <c r="D33" s="1" t="s">
        <v>13</v>
      </c>
      <c r="E33" s="1" t="s">
        <v>28</v>
      </c>
      <c r="F33" s="1" t="s">
        <v>20</v>
      </c>
      <c r="G33" s="1" t="s">
        <v>16</v>
      </c>
      <c r="H33" s="1" t="s">
        <v>29</v>
      </c>
      <c r="I33" s="4">
        <v>3374.72</v>
      </c>
      <c r="J33" s="4">
        <v>3483.15</v>
      </c>
      <c r="K33">
        <v>47</v>
      </c>
      <c r="L33" s="3">
        <v>0.18</v>
      </c>
      <c r="M33" s="4">
        <v>158611.84</v>
      </c>
      <c r="N33" s="4">
        <v>163699.59</v>
      </c>
      <c r="O33" s="4">
        <v>5087.75</v>
      </c>
      <c r="P33" s="3">
        <v>3.10797968400532E-2</v>
      </c>
    </row>
    <row r="34" spans="1:16" x14ac:dyDescent="0.3">
      <c r="A34">
        <v>1001</v>
      </c>
      <c r="B34" s="2">
        <v>45282</v>
      </c>
      <c r="C34" s="1" t="s">
        <v>18</v>
      </c>
      <c r="D34" s="1" t="s">
        <v>19</v>
      </c>
      <c r="E34" s="1" t="s">
        <v>14</v>
      </c>
      <c r="F34" s="1" t="s">
        <v>15</v>
      </c>
      <c r="G34" s="1" t="s">
        <v>21</v>
      </c>
      <c r="H34" s="1" t="s">
        <v>29</v>
      </c>
      <c r="I34" s="4">
        <v>1372.36</v>
      </c>
      <c r="J34" s="4">
        <v>1687.83</v>
      </c>
      <c r="K34">
        <v>45</v>
      </c>
      <c r="L34" s="3">
        <v>0.02</v>
      </c>
      <c r="M34" s="4">
        <v>61756.2</v>
      </c>
      <c r="N34" s="4">
        <v>75951.45</v>
      </c>
      <c r="O34" s="4">
        <v>14195.25</v>
      </c>
      <c r="P34" s="3">
        <v>0.186898999294944</v>
      </c>
    </row>
    <row r="35" spans="1:16" x14ac:dyDescent="0.3">
      <c r="A35">
        <v>1004</v>
      </c>
      <c r="B35" s="2">
        <v>45282</v>
      </c>
      <c r="C35" s="1" t="s">
        <v>12</v>
      </c>
      <c r="D35" s="1" t="s">
        <v>30</v>
      </c>
      <c r="E35" s="1" t="s">
        <v>14</v>
      </c>
      <c r="F35" s="1" t="s">
        <v>15</v>
      </c>
      <c r="G35" s="1" t="s">
        <v>16</v>
      </c>
      <c r="H35" s="1" t="s">
        <v>29</v>
      </c>
      <c r="I35" s="4">
        <v>4840.33</v>
      </c>
      <c r="J35" s="4">
        <v>4884.29</v>
      </c>
      <c r="K35">
        <v>11</v>
      </c>
      <c r="L35" s="3">
        <v>0.13</v>
      </c>
      <c r="M35" s="4">
        <v>53243.63</v>
      </c>
      <c r="N35" s="4">
        <v>53725.760000000002</v>
      </c>
      <c r="O35" s="4">
        <v>482.13</v>
      </c>
      <c r="P35" s="3">
        <v>8.9739074886981598E-3</v>
      </c>
    </row>
    <row r="36" spans="1:16" x14ac:dyDescent="0.3">
      <c r="A36">
        <v>1025</v>
      </c>
      <c r="B36" s="2">
        <v>45282</v>
      </c>
      <c r="C36" s="1" t="s">
        <v>23</v>
      </c>
      <c r="D36" s="1" t="s">
        <v>27</v>
      </c>
      <c r="E36" s="1" t="s">
        <v>22</v>
      </c>
      <c r="F36" s="1" t="s">
        <v>20</v>
      </c>
      <c r="G36" s="1" t="s">
        <v>25</v>
      </c>
      <c r="H36" s="1" t="s">
        <v>17</v>
      </c>
      <c r="I36" s="4">
        <v>1250.5899999999999</v>
      </c>
      <c r="J36" s="4">
        <v>1515.49</v>
      </c>
      <c r="K36">
        <v>11</v>
      </c>
      <c r="L36" s="3">
        <v>0.21</v>
      </c>
      <c r="M36" s="4">
        <v>13756.49</v>
      </c>
      <c r="N36" s="4">
        <v>16668.080000000002</v>
      </c>
      <c r="O36" s="4">
        <v>2911.59</v>
      </c>
      <c r="P36" s="3">
        <v>0.17468058708621501</v>
      </c>
    </row>
    <row r="37" spans="1:16" x14ac:dyDescent="0.3">
      <c r="A37">
        <v>1052</v>
      </c>
      <c r="B37" s="2">
        <v>45282</v>
      </c>
      <c r="C37" s="1" t="s">
        <v>31</v>
      </c>
      <c r="D37" s="1" t="s">
        <v>19</v>
      </c>
      <c r="E37" s="1" t="s">
        <v>22</v>
      </c>
      <c r="F37" s="1" t="s">
        <v>15</v>
      </c>
      <c r="G37" s="1" t="s">
        <v>21</v>
      </c>
      <c r="H37" s="1" t="s">
        <v>29</v>
      </c>
      <c r="I37" s="4">
        <v>1127.8599999999999</v>
      </c>
      <c r="J37" s="4">
        <v>1586.29</v>
      </c>
      <c r="K37">
        <v>18</v>
      </c>
      <c r="L37" s="3">
        <v>0.04</v>
      </c>
      <c r="M37" s="4">
        <v>20301.48</v>
      </c>
      <c r="N37" s="4">
        <v>28552.5</v>
      </c>
      <c r="O37" s="4">
        <v>8251.02</v>
      </c>
      <c r="P37" s="3">
        <v>0.28897714736012597</v>
      </c>
    </row>
    <row r="38" spans="1:16" x14ac:dyDescent="0.3">
      <c r="A38">
        <v>1052</v>
      </c>
      <c r="B38" s="2">
        <v>45282</v>
      </c>
      <c r="C38" s="1" t="s">
        <v>31</v>
      </c>
      <c r="D38" s="1" t="s">
        <v>19</v>
      </c>
      <c r="E38" s="1" t="s">
        <v>24</v>
      </c>
      <c r="F38" s="1" t="s">
        <v>20</v>
      </c>
      <c r="G38" s="1" t="s">
        <v>25</v>
      </c>
      <c r="H38" s="1" t="s">
        <v>29</v>
      </c>
      <c r="I38" s="4">
        <v>3752.68</v>
      </c>
      <c r="J38" s="4">
        <v>4017.91</v>
      </c>
      <c r="K38">
        <v>2</v>
      </c>
      <c r="L38" s="3">
        <v>0.16</v>
      </c>
      <c r="M38" s="4">
        <v>7505.36</v>
      </c>
      <c r="N38" s="4">
        <v>8035.5</v>
      </c>
      <c r="O38" s="4">
        <v>530.14</v>
      </c>
      <c r="P38" s="3">
        <v>6.5974737104100595E-2</v>
      </c>
    </row>
    <row r="39" spans="1:16" x14ac:dyDescent="0.3">
      <c r="A39">
        <v>1061</v>
      </c>
      <c r="B39" s="2">
        <v>45282</v>
      </c>
      <c r="C39" s="1" t="s">
        <v>26</v>
      </c>
      <c r="D39" s="1" t="s">
        <v>30</v>
      </c>
      <c r="E39" s="1" t="s">
        <v>14</v>
      </c>
      <c r="F39" s="1" t="s">
        <v>20</v>
      </c>
      <c r="G39" s="1" t="s">
        <v>16</v>
      </c>
      <c r="H39" s="1" t="s">
        <v>29</v>
      </c>
      <c r="I39" s="4">
        <v>1364.51</v>
      </c>
      <c r="J39" s="4">
        <v>1844.8</v>
      </c>
      <c r="K39">
        <v>45</v>
      </c>
      <c r="L39" s="3">
        <v>0.18</v>
      </c>
      <c r="M39" s="4">
        <v>61402.95</v>
      </c>
      <c r="N39" s="4">
        <v>83007.899999999994</v>
      </c>
      <c r="O39" s="4">
        <v>21604.95</v>
      </c>
      <c r="P39" s="3">
        <v>0.26027582916806702</v>
      </c>
    </row>
    <row r="40" spans="1:16" x14ac:dyDescent="0.3">
      <c r="A40">
        <v>1053</v>
      </c>
      <c r="B40" s="2">
        <v>45281</v>
      </c>
      <c r="C40" s="1" t="s">
        <v>23</v>
      </c>
      <c r="D40" s="1" t="s">
        <v>30</v>
      </c>
      <c r="E40" s="1" t="s">
        <v>24</v>
      </c>
      <c r="F40" s="1" t="s">
        <v>20</v>
      </c>
      <c r="G40" s="1" t="s">
        <v>21</v>
      </c>
      <c r="H40" s="1" t="s">
        <v>29</v>
      </c>
      <c r="I40" s="4">
        <v>2045</v>
      </c>
      <c r="J40" s="4">
        <v>2217.5100000000002</v>
      </c>
      <c r="K40">
        <v>44</v>
      </c>
      <c r="L40" s="3">
        <v>0.08</v>
      </c>
      <c r="M40" s="4">
        <v>89980</v>
      </c>
      <c r="N40" s="4">
        <v>97566.92</v>
      </c>
      <c r="O40" s="4">
        <v>7586.92</v>
      </c>
      <c r="P40" s="3">
        <v>7.7761192010570801E-2</v>
      </c>
    </row>
    <row r="41" spans="1:16" x14ac:dyDescent="0.3">
      <c r="A41">
        <v>1008</v>
      </c>
      <c r="B41" s="2">
        <v>45280</v>
      </c>
      <c r="C41" s="1" t="s">
        <v>31</v>
      </c>
      <c r="D41" s="1" t="s">
        <v>19</v>
      </c>
      <c r="E41" s="1" t="s">
        <v>14</v>
      </c>
      <c r="F41" s="1" t="s">
        <v>20</v>
      </c>
      <c r="G41" s="1" t="s">
        <v>25</v>
      </c>
      <c r="H41" s="1" t="s">
        <v>17</v>
      </c>
      <c r="I41" s="4">
        <v>2296.9299999999998</v>
      </c>
      <c r="J41" s="4">
        <v>2319.62</v>
      </c>
      <c r="K41">
        <v>23</v>
      </c>
      <c r="L41" s="3">
        <v>0.23</v>
      </c>
      <c r="M41" s="4">
        <v>52829.39</v>
      </c>
      <c r="N41" s="4">
        <v>53345.97</v>
      </c>
      <c r="O41" s="4">
        <v>516.58000000000004</v>
      </c>
      <c r="P41" s="3">
        <v>9.6835805966223893E-3</v>
      </c>
    </row>
    <row r="42" spans="1:16" x14ac:dyDescent="0.3">
      <c r="A42">
        <v>1058</v>
      </c>
      <c r="B42" s="2">
        <v>45280</v>
      </c>
      <c r="C42" s="1" t="s">
        <v>18</v>
      </c>
      <c r="D42" s="1" t="s">
        <v>30</v>
      </c>
      <c r="E42" s="1" t="s">
        <v>14</v>
      </c>
      <c r="F42" s="1" t="s">
        <v>15</v>
      </c>
      <c r="G42" s="1" t="s">
        <v>21</v>
      </c>
      <c r="H42" s="1" t="s">
        <v>17</v>
      </c>
      <c r="I42" s="4">
        <v>2250.91</v>
      </c>
      <c r="J42" s="4">
        <v>2558.6799999999998</v>
      </c>
      <c r="K42">
        <v>2</v>
      </c>
      <c r="L42" s="3">
        <v>0.09</v>
      </c>
      <c r="M42" s="4">
        <v>4501.82</v>
      </c>
      <c r="N42" s="4">
        <v>5117.18</v>
      </c>
      <c r="O42" s="4">
        <v>615.36</v>
      </c>
      <c r="P42" s="3">
        <v>0.120253733501655</v>
      </c>
    </row>
    <row r="43" spans="1:16" x14ac:dyDescent="0.3">
      <c r="A43">
        <v>1069</v>
      </c>
      <c r="B43" s="2">
        <v>45280</v>
      </c>
      <c r="C43" s="1" t="s">
        <v>12</v>
      </c>
      <c r="D43" s="1" t="s">
        <v>30</v>
      </c>
      <c r="E43" s="1" t="s">
        <v>24</v>
      </c>
      <c r="F43" s="1" t="s">
        <v>15</v>
      </c>
      <c r="G43" s="1" t="s">
        <v>25</v>
      </c>
      <c r="H43" s="1" t="s">
        <v>17</v>
      </c>
      <c r="I43" s="4">
        <v>4682.34</v>
      </c>
      <c r="J43" s="4">
        <v>5036.3999999999996</v>
      </c>
      <c r="K43">
        <v>12</v>
      </c>
      <c r="L43" s="3">
        <v>0.2</v>
      </c>
      <c r="M43" s="4">
        <v>56188.08</v>
      </c>
      <c r="N43" s="4">
        <v>60434.400000000001</v>
      </c>
      <c r="O43" s="4">
        <v>4246.32</v>
      </c>
      <c r="P43" s="3">
        <v>7.0263293753226597E-2</v>
      </c>
    </row>
    <row r="44" spans="1:16" x14ac:dyDescent="0.3">
      <c r="A44">
        <v>1100</v>
      </c>
      <c r="B44" s="2">
        <v>45280</v>
      </c>
      <c r="C44" s="1" t="s">
        <v>18</v>
      </c>
      <c r="D44" s="1" t="s">
        <v>19</v>
      </c>
      <c r="E44" s="1" t="s">
        <v>28</v>
      </c>
      <c r="F44" s="1" t="s">
        <v>15</v>
      </c>
      <c r="G44" s="1" t="s">
        <v>25</v>
      </c>
      <c r="H44" s="1" t="s">
        <v>29</v>
      </c>
      <c r="I44" s="4">
        <v>3685.03</v>
      </c>
      <c r="J44" s="4">
        <v>3743.39</v>
      </c>
      <c r="K44">
        <v>39</v>
      </c>
      <c r="L44" s="3">
        <v>0.01</v>
      </c>
      <c r="M44" s="4">
        <v>143716.17000000001</v>
      </c>
      <c r="N44" s="4">
        <v>145991.82</v>
      </c>
      <c r="O44" s="4">
        <v>2275.65</v>
      </c>
      <c r="P44" s="3">
        <v>1.5587517163632899E-2</v>
      </c>
    </row>
    <row r="45" spans="1:16" x14ac:dyDescent="0.3">
      <c r="A45">
        <v>1029</v>
      </c>
      <c r="B45" s="2">
        <v>45279</v>
      </c>
      <c r="C45" s="1" t="s">
        <v>12</v>
      </c>
      <c r="D45" s="1" t="s">
        <v>30</v>
      </c>
      <c r="E45" s="1" t="s">
        <v>22</v>
      </c>
      <c r="F45" s="1" t="s">
        <v>15</v>
      </c>
      <c r="G45" s="1" t="s">
        <v>16</v>
      </c>
      <c r="H45" s="1" t="s">
        <v>17</v>
      </c>
      <c r="I45" s="4">
        <v>3085.1</v>
      </c>
      <c r="J45" s="4">
        <v>3200.75</v>
      </c>
      <c r="K45">
        <v>21</v>
      </c>
      <c r="L45" s="3">
        <v>0.21</v>
      </c>
      <c r="M45" s="4">
        <v>64787.1</v>
      </c>
      <c r="N45" s="4">
        <v>67211.34</v>
      </c>
      <c r="O45" s="4">
        <v>2424.2399999999998</v>
      </c>
      <c r="P45" s="3">
        <v>3.6068913370868698E-2</v>
      </c>
    </row>
    <row r="46" spans="1:16" x14ac:dyDescent="0.3">
      <c r="A46">
        <v>1043</v>
      </c>
      <c r="B46" s="2">
        <v>45279</v>
      </c>
      <c r="C46" s="1" t="s">
        <v>12</v>
      </c>
      <c r="D46" s="1" t="s">
        <v>27</v>
      </c>
      <c r="E46" s="1" t="s">
        <v>28</v>
      </c>
      <c r="F46" s="1" t="s">
        <v>15</v>
      </c>
      <c r="G46" s="1" t="s">
        <v>21</v>
      </c>
      <c r="H46" s="1" t="s">
        <v>17</v>
      </c>
      <c r="I46" s="4">
        <v>4920.46</v>
      </c>
      <c r="J46" s="4">
        <v>5079.68</v>
      </c>
      <c r="K46">
        <v>12</v>
      </c>
      <c r="L46" s="3">
        <v>0.21</v>
      </c>
      <c r="M46" s="4">
        <v>59045.52</v>
      </c>
      <c r="N46" s="4">
        <v>60953.64</v>
      </c>
      <c r="O46" s="4">
        <v>1908.12</v>
      </c>
      <c r="P46" s="3">
        <v>3.1304447117514199E-2</v>
      </c>
    </row>
    <row r="47" spans="1:16" x14ac:dyDescent="0.3">
      <c r="A47">
        <v>1063</v>
      </c>
      <c r="B47" s="2">
        <v>45279</v>
      </c>
      <c r="C47" s="1" t="s">
        <v>31</v>
      </c>
      <c r="D47" s="1" t="s">
        <v>19</v>
      </c>
      <c r="E47" s="1" t="s">
        <v>24</v>
      </c>
      <c r="F47" s="1" t="s">
        <v>20</v>
      </c>
      <c r="G47" s="1" t="s">
        <v>25</v>
      </c>
      <c r="H47" s="1" t="s">
        <v>29</v>
      </c>
      <c r="I47" s="4">
        <v>2302.62</v>
      </c>
      <c r="J47" s="4">
        <v>2740.93</v>
      </c>
      <c r="K47">
        <v>46</v>
      </c>
      <c r="L47" s="3">
        <v>0.25</v>
      </c>
      <c r="M47" s="4">
        <v>105920.52</v>
      </c>
      <c r="N47" s="4">
        <v>126071.28</v>
      </c>
      <c r="O47" s="4">
        <v>20150.759999999998</v>
      </c>
      <c r="P47" s="3">
        <v>0.15983624501948401</v>
      </c>
    </row>
    <row r="48" spans="1:16" x14ac:dyDescent="0.3">
      <c r="A48">
        <v>1064</v>
      </c>
      <c r="B48" s="2">
        <v>45279</v>
      </c>
      <c r="C48" s="1" t="s">
        <v>26</v>
      </c>
      <c r="D48" s="1" t="s">
        <v>19</v>
      </c>
      <c r="E48" s="1" t="s">
        <v>14</v>
      </c>
      <c r="F48" s="1" t="s">
        <v>20</v>
      </c>
      <c r="G48" s="1" t="s">
        <v>21</v>
      </c>
      <c r="H48" s="1" t="s">
        <v>17</v>
      </c>
      <c r="I48" s="4">
        <v>4900.03</v>
      </c>
      <c r="J48" s="4">
        <v>5118.83</v>
      </c>
      <c r="K48">
        <v>35</v>
      </c>
      <c r="L48" s="3">
        <v>7.0000000000000007E-2</v>
      </c>
      <c r="M48" s="4">
        <v>171501.05</v>
      </c>
      <c r="N48" s="4">
        <v>179156.6</v>
      </c>
      <c r="O48" s="4">
        <v>7655.55</v>
      </c>
      <c r="P48" s="3">
        <v>4.27310520516688E-2</v>
      </c>
    </row>
    <row r="49" spans="1:16" x14ac:dyDescent="0.3">
      <c r="A49">
        <v>1088</v>
      </c>
      <c r="B49" s="2">
        <v>45279</v>
      </c>
      <c r="C49" s="1" t="s">
        <v>26</v>
      </c>
      <c r="D49" s="1" t="s">
        <v>13</v>
      </c>
      <c r="E49" s="1" t="s">
        <v>14</v>
      </c>
      <c r="F49" s="1" t="s">
        <v>15</v>
      </c>
      <c r="G49" s="1" t="s">
        <v>25</v>
      </c>
      <c r="H49" s="1" t="s">
        <v>17</v>
      </c>
      <c r="I49" s="4">
        <v>4590.24</v>
      </c>
      <c r="J49" s="4">
        <v>5088.28</v>
      </c>
      <c r="K49">
        <v>20</v>
      </c>
      <c r="L49" s="3">
        <v>0.16</v>
      </c>
      <c r="M49" s="4">
        <v>91804.800000000003</v>
      </c>
      <c r="N49" s="4">
        <v>101762.4</v>
      </c>
      <c r="O49" s="4">
        <v>9957.6</v>
      </c>
      <c r="P49" s="3">
        <v>9.7851465767316806E-2</v>
      </c>
    </row>
    <row r="50" spans="1:16" x14ac:dyDescent="0.3">
      <c r="A50">
        <v>1014</v>
      </c>
      <c r="B50" s="2">
        <v>45278</v>
      </c>
      <c r="C50" s="1" t="s">
        <v>18</v>
      </c>
      <c r="D50" s="1" t="s">
        <v>13</v>
      </c>
      <c r="E50" s="1" t="s">
        <v>24</v>
      </c>
      <c r="F50" s="1" t="s">
        <v>15</v>
      </c>
      <c r="G50" s="1" t="s">
        <v>21</v>
      </c>
      <c r="H50" s="1" t="s">
        <v>17</v>
      </c>
      <c r="I50" s="4">
        <v>854.68</v>
      </c>
      <c r="J50" s="4">
        <v>1115.24</v>
      </c>
      <c r="K50">
        <v>4</v>
      </c>
      <c r="L50" s="3">
        <v>0.24</v>
      </c>
      <c r="M50" s="4">
        <v>3418.72</v>
      </c>
      <c r="N50" s="4">
        <v>4460</v>
      </c>
      <c r="O50" s="4">
        <v>1041.28</v>
      </c>
      <c r="P50" s="3">
        <v>0.23347085201793699</v>
      </c>
    </row>
    <row r="51" spans="1:16" x14ac:dyDescent="0.3">
      <c r="A51">
        <v>1073</v>
      </c>
      <c r="B51" s="2">
        <v>45278</v>
      </c>
      <c r="C51" s="1" t="s">
        <v>12</v>
      </c>
      <c r="D51" s="1" t="s">
        <v>19</v>
      </c>
      <c r="E51" s="1" t="s">
        <v>22</v>
      </c>
      <c r="F51" s="1" t="s">
        <v>15</v>
      </c>
      <c r="G51" s="1" t="s">
        <v>16</v>
      </c>
      <c r="H51" s="1" t="s">
        <v>17</v>
      </c>
      <c r="I51" s="4">
        <v>157.15</v>
      </c>
      <c r="J51" s="4">
        <v>436.53</v>
      </c>
      <c r="K51">
        <v>40</v>
      </c>
      <c r="L51" s="3">
        <v>0.04</v>
      </c>
      <c r="M51" s="4">
        <v>6286</v>
      </c>
      <c r="N51" s="4">
        <v>17459.599999999999</v>
      </c>
      <c r="O51" s="4">
        <v>11173.6</v>
      </c>
      <c r="P51" s="3">
        <v>0.63996884235606799</v>
      </c>
    </row>
    <row r="52" spans="1:16" x14ac:dyDescent="0.3">
      <c r="A52">
        <v>1060</v>
      </c>
      <c r="B52" s="2">
        <v>45276</v>
      </c>
      <c r="C52" s="1" t="s">
        <v>12</v>
      </c>
      <c r="D52" s="1" t="s">
        <v>13</v>
      </c>
      <c r="E52" s="1" t="s">
        <v>14</v>
      </c>
      <c r="F52" s="1" t="s">
        <v>15</v>
      </c>
      <c r="G52" s="1" t="s">
        <v>25</v>
      </c>
      <c r="H52" s="1" t="s">
        <v>17</v>
      </c>
      <c r="I52" s="4">
        <v>3784.96</v>
      </c>
      <c r="J52" s="4">
        <v>4276.99</v>
      </c>
      <c r="K52">
        <v>44</v>
      </c>
      <c r="L52" s="3">
        <v>0.06</v>
      </c>
      <c r="M52" s="4">
        <v>166538.23999999999</v>
      </c>
      <c r="N52" s="4">
        <v>188184.92</v>
      </c>
      <c r="O52" s="4">
        <v>21646.68</v>
      </c>
      <c r="P52" s="3">
        <v>0.11502877063688199</v>
      </c>
    </row>
    <row r="53" spans="1:16" x14ac:dyDescent="0.3">
      <c r="A53">
        <v>1074</v>
      </c>
      <c r="B53" s="2">
        <v>45276</v>
      </c>
      <c r="C53" s="1" t="s">
        <v>23</v>
      </c>
      <c r="D53" s="1" t="s">
        <v>30</v>
      </c>
      <c r="E53" s="1" t="s">
        <v>24</v>
      </c>
      <c r="F53" s="1" t="s">
        <v>15</v>
      </c>
      <c r="G53" s="1" t="s">
        <v>21</v>
      </c>
      <c r="H53" s="1" t="s">
        <v>29</v>
      </c>
      <c r="I53" s="4">
        <v>278.67</v>
      </c>
      <c r="J53" s="4">
        <v>423.13</v>
      </c>
      <c r="K53">
        <v>19</v>
      </c>
      <c r="L53" s="3">
        <v>0.24</v>
      </c>
      <c r="M53" s="4">
        <v>5294.73</v>
      </c>
      <c r="N53" s="4">
        <v>8034.91</v>
      </c>
      <c r="O53" s="4">
        <v>2740.18</v>
      </c>
      <c r="P53" s="3">
        <v>0.34103431152309099</v>
      </c>
    </row>
    <row r="54" spans="1:16" x14ac:dyDescent="0.3">
      <c r="A54">
        <v>1076</v>
      </c>
      <c r="B54" s="2">
        <v>45276</v>
      </c>
      <c r="C54" s="1" t="s">
        <v>12</v>
      </c>
      <c r="D54" s="1" t="s">
        <v>13</v>
      </c>
      <c r="E54" s="1" t="s">
        <v>14</v>
      </c>
      <c r="F54" s="1" t="s">
        <v>15</v>
      </c>
      <c r="G54" s="1" t="s">
        <v>21</v>
      </c>
      <c r="H54" s="1" t="s">
        <v>17</v>
      </c>
      <c r="I54" s="4">
        <v>3519.63</v>
      </c>
      <c r="J54" s="4">
        <v>3774.65</v>
      </c>
      <c r="K54">
        <v>30</v>
      </c>
      <c r="L54" s="3">
        <v>0.2</v>
      </c>
      <c r="M54" s="4">
        <v>105588.9</v>
      </c>
      <c r="N54" s="4">
        <v>113233.5</v>
      </c>
      <c r="O54" s="4">
        <v>7644.6</v>
      </c>
      <c r="P54" s="3">
        <v>6.75118229145968E-2</v>
      </c>
    </row>
    <row r="55" spans="1:16" x14ac:dyDescent="0.3">
      <c r="A55">
        <v>1012</v>
      </c>
      <c r="B55" s="2">
        <v>45275</v>
      </c>
      <c r="C55" s="1" t="s">
        <v>23</v>
      </c>
      <c r="D55" s="1" t="s">
        <v>19</v>
      </c>
      <c r="E55" s="1" t="s">
        <v>28</v>
      </c>
      <c r="F55" s="1" t="s">
        <v>20</v>
      </c>
      <c r="G55" s="1" t="s">
        <v>25</v>
      </c>
      <c r="H55" s="1" t="s">
        <v>17</v>
      </c>
      <c r="I55" s="4">
        <v>2231.66</v>
      </c>
      <c r="J55" s="4">
        <v>2596.61</v>
      </c>
      <c r="K55">
        <v>13</v>
      </c>
      <c r="L55" s="3">
        <v>0.09</v>
      </c>
      <c r="M55" s="4">
        <v>29011.58</v>
      </c>
      <c r="N55" s="4">
        <v>33754.76</v>
      </c>
      <c r="O55" s="4">
        <v>4743.18</v>
      </c>
      <c r="P55" s="3">
        <v>0.140518848304654</v>
      </c>
    </row>
    <row r="56" spans="1:16" x14ac:dyDescent="0.3">
      <c r="A56">
        <v>1019</v>
      </c>
      <c r="B56" s="2">
        <v>45275</v>
      </c>
      <c r="C56" s="1" t="s">
        <v>18</v>
      </c>
      <c r="D56" s="1" t="s">
        <v>13</v>
      </c>
      <c r="E56" s="1" t="s">
        <v>14</v>
      </c>
      <c r="F56" s="1" t="s">
        <v>15</v>
      </c>
      <c r="G56" s="1" t="s">
        <v>16</v>
      </c>
      <c r="H56" s="1" t="s">
        <v>29</v>
      </c>
      <c r="I56" s="4">
        <v>1340.51</v>
      </c>
      <c r="J56" s="4">
        <v>1567.92</v>
      </c>
      <c r="K56">
        <v>36</v>
      </c>
      <c r="L56" s="3">
        <v>0.28999999999999998</v>
      </c>
      <c r="M56" s="4">
        <v>48258.36</v>
      </c>
      <c r="N56" s="4">
        <v>56434.68</v>
      </c>
      <c r="O56" s="4">
        <v>8176.32</v>
      </c>
      <c r="P56" s="3">
        <v>0.144881126286177</v>
      </c>
    </row>
    <row r="57" spans="1:16" x14ac:dyDescent="0.3">
      <c r="A57">
        <v>1043</v>
      </c>
      <c r="B57" s="2">
        <v>45275</v>
      </c>
      <c r="C57" s="1" t="s">
        <v>18</v>
      </c>
      <c r="D57" s="1" t="s">
        <v>19</v>
      </c>
      <c r="E57" s="1" t="s">
        <v>14</v>
      </c>
      <c r="F57" s="1" t="s">
        <v>15</v>
      </c>
      <c r="G57" s="1" t="s">
        <v>21</v>
      </c>
      <c r="H57" s="1" t="s">
        <v>29</v>
      </c>
      <c r="I57" s="4">
        <v>563.59</v>
      </c>
      <c r="J57" s="4">
        <v>838.97</v>
      </c>
      <c r="K57">
        <v>6</v>
      </c>
      <c r="L57" s="3">
        <v>0.17</v>
      </c>
      <c r="M57" s="4">
        <v>3381.54</v>
      </c>
      <c r="N57" s="4">
        <v>5032.8</v>
      </c>
      <c r="O57" s="4">
        <v>1651.26</v>
      </c>
      <c r="P57" s="3">
        <v>0.32809966618979503</v>
      </c>
    </row>
    <row r="58" spans="1:16" x14ac:dyDescent="0.3">
      <c r="A58">
        <v>1045</v>
      </c>
      <c r="B58" s="2">
        <v>45275</v>
      </c>
      <c r="C58" s="1" t="s">
        <v>18</v>
      </c>
      <c r="D58" s="1" t="s">
        <v>27</v>
      </c>
      <c r="E58" s="1" t="s">
        <v>14</v>
      </c>
      <c r="F58" s="1" t="s">
        <v>20</v>
      </c>
      <c r="G58" s="1" t="s">
        <v>16</v>
      </c>
      <c r="H58" s="1" t="s">
        <v>29</v>
      </c>
      <c r="I58" s="4">
        <v>3587.74</v>
      </c>
      <c r="J58" s="4">
        <v>3745.91</v>
      </c>
      <c r="K58">
        <v>42</v>
      </c>
      <c r="L58" s="3">
        <v>0.1</v>
      </c>
      <c r="M58" s="4">
        <v>150685.07999999999</v>
      </c>
      <c r="N58" s="4">
        <v>157324.01999999999</v>
      </c>
      <c r="O58" s="4">
        <v>6638.94</v>
      </c>
      <c r="P58" s="3">
        <v>4.2199150517511601E-2</v>
      </c>
    </row>
    <row r="59" spans="1:16" x14ac:dyDescent="0.3">
      <c r="A59">
        <v>1061</v>
      </c>
      <c r="B59" s="2">
        <v>45275</v>
      </c>
      <c r="C59" s="1" t="s">
        <v>26</v>
      </c>
      <c r="D59" s="1" t="s">
        <v>30</v>
      </c>
      <c r="E59" s="1" t="s">
        <v>22</v>
      </c>
      <c r="F59" s="1" t="s">
        <v>15</v>
      </c>
      <c r="G59" s="1" t="s">
        <v>25</v>
      </c>
      <c r="H59" s="1" t="s">
        <v>29</v>
      </c>
      <c r="I59" s="4">
        <v>2759.26</v>
      </c>
      <c r="J59" s="4">
        <v>3193.25</v>
      </c>
      <c r="K59">
        <v>32</v>
      </c>
      <c r="L59" s="3">
        <v>0.2</v>
      </c>
      <c r="M59" s="4">
        <v>88296.320000000007</v>
      </c>
      <c r="N59" s="4">
        <v>102177.60000000001</v>
      </c>
      <c r="O59" s="4">
        <v>13881.28</v>
      </c>
      <c r="P59" s="3">
        <v>0.135854433848515</v>
      </c>
    </row>
    <row r="60" spans="1:16" x14ac:dyDescent="0.3">
      <c r="A60">
        <v>1076</v>
      </c>
      <c r="B60" s="2">
        <v>45275</v>
      </c>
      <c r="C60" s="1" t="s">
        <v>23</v>
      </c>
      <c r="D60" s="1" t="s">
        <v>19</v>
      </c>
      <c r="E60" s="1" t="s">
        <v>22</v>
      </c>
      <c r="F60" s="1" t="s">
        <v>15</v>
      </c>
      <c r="G60" s="1" t="s">
        <v>16</v>
      </c>
      <c r="H60" s="1" t="s">
        <v>17</v>
      </c>
      <c r="I60" s="4">
        <v>2636.36</v>
      </c>
      <c r="J60" s="4">
        <v>2696.78</v>
      </c>
      <c r="K60">
        <v>32</v>
      </c>
      <c r="L60" s="3">
        <v>0.09</v>
      </c>
      <c r="M60" s="4">
        <v>84363.520000000004</v>
      </c>
      <c r="N60" s="4">
        <v>86294.080000000002</v>
      </c>
      <c r="O60" s="4">
        <v>1930.56</v>
      </c>
      <c r="P60" s="3">
        <v>2.2371870700748E-2</v>
      </c>
    </row>
    <row r="61" spans="1:16" x14ac:dyDescent="0.3">
      <c r="A61">
        <v>1070</v>
      </c>
      <c r="B61" s="2">
        <v>45274</v>
      </c>
      <c r="C61" s="1" t="s">
        <v>31</v>
      </c>
      <c r="D61" s="1" t="s">
        <v>27</v>
      </c>
      <c r="E61" s="1" t="s">
        <v>22</v>
      </c>
      <c r="F61" s="1" t="s">
        <v>15</v>
      </c>
      <c r="G61" s="1" t="s">
        <v>16</v>
      </c>
      <c r="H61" s="1" t="s">
        <v>17</v>
      </c>
      <c r="I61" s="4">
        <v>866.42</v>
      </c>
      <c r="J61" s="4">
        <v>878.43</v>
      </c>
      <c r="K61">
        <v>33</v>
      </c>
      <c r="L61" s="3">
        <v>0.09</v>
      </c>
      <c r="M61" s="4">
        <v>28591.86</v>
      </c>
      <c r="N61" s="4">
        <v>28985.22</v>
      </c>
      <c r="O61" s="4">
        <v>393.36</v>
      </c>
      <c r="P61" s="3">
        <v>1.3571054489150001E-2</v>
      </c>
    </row>
    <row r="62" spans="1:16" x14ac:dyDescent="0.3">
      <c r="A62">
        <v>1070</v>
      </c>
      <c r="B62" s="2">
        <v>45273</v>
      </c>
      <c r="C62" s="1" t="s">
        <v>26</v>
      </c>
      <c r="D62" s="1" t="s">
        <v>19</v>
      </c>
      <c r="E62" s="1" t="s">
        <v>14</v>
      </c>
      <c r="F62" s="1" t="s">
        <v>20</v>
      </c>
      <c r="G62" s="1" t="s">
        <v>25</v>
      </c>
      <c r="H62" s="1" t="s">
        <v>29</v>
      </c>
      <c r="I62" s="4">
        <v>3762.27</v>
      </c>
      <c r="J62" s="4">
        <v>4166.95</v>
      </c>
      <c r="K62">
        <v>8</v>
      </c>
      <c r="L62" s="3">
        <v>0.16</v>
      </c>
      <c r="M62" s="4">
        <v>30098.16</v>
      </c>
      <c r="N62" s="4">
        <v>33334.32</v>
      </c>
      <c r="O62" s="4">
        <v>3236.16</v>
      </c>
      <c r="P62" s="3">
        <v>9.7081926374979297E-2</v>
      </c>
    </row>
    <row r="63" spans="1:16" x14ac:dyDescent="0.3">
      <c r="A63">
        <v>1092</v>
      </c>
      <c r="B63" s="2">
        <v>45273</v>
      </c>
      <c r="C63" s="1" t="s">
        <v>31</v>
      </c>
      <c r="D63" s="1" t="s">
        <v>30</v>
      </c>
      <c r="E63" s="1" t="s">
        <v>14</v>
      </c>
      <c r="F63" s="1" t="s">
        <v>15</v>
      </c>
      <c r="G63" s="1" t="s">
        <v>16</v>
      </c>
      <c r="H63" s="1" t="s">
        <v>29</v>
      </c>
      <c r="I63" s="4">
        <v>2273.88</v>
      </c>
      <c r="J63" s="4">
        <v>2696.02</v>
      </c>
      <c r="K63">
        <v>15</v>
      </c>
      <c r="L63" s="3">
        <v>0.3</v>
      </c>
      <c r="M63" s="4">
        <v>34108.199999999997</v>
      </c>
      <c r="N63" s="4">
        <v>40435.800000000003</v>
      </c>
      <c r="O63" s="4">
        <v>6327.6</v>
      </c>
      <c r="P63" s="3">
        <v>0.156485094891161</v>
      </c>
    </row>
    <row r="64" spans="1:16" x14ac:dyDescent="0.3">
      <c r="A64">
        <v>1051</v>
      </c>
      <c r="B64" s="2">
        <v>45272</v>
      </c>
      <c r="C64" s="1" t="s">
        <v>12</v>
      </c>
      <c r="D64" s="1" t="s">
        <v>30</v>
      </c>
      <c r="E64" s="1" t="s">
        <v>14</v>
      </c>
      <c r="F64" s="1" t="s">
        <v>15</v>
      </c>
      <c r="G64" s="1" t="s">
        <v>21</v>
      </c>
      <c r="H64" s="1" t="s">
        <v>29</v>
      </c>
      <c r="I64" s="4">
        <v>467.11</v>
      </c>
      <c r="J64" s="4">
        <v>792.21</v>
      </c>
      <c r="K64">
        <v>8</v>
      </c>
      <c r="L64" s="3">
        <v>0.2</v>
      </c>
      <c r="M64" s="4">
        <v>3736.88</v>
      </c>
      <c r="N64" s="4">
        <v>6336.08</v>
      </c>
      <c r="O64" s="4">
        <v>2599.1999999999998</v>
      </c>
      <c r="P64" s="3">
        <v>0.41022209315538899</v>
      </c>
    </row>
    <row r="65" spans="1:16" x14ac:dyDescent="0.3">
      <c r="A65">
        <v>1053</v>
      </c>
      <c r="B65" s="2">
        <v>45272</v>
      </c>
      <c r="C65" s="1" t="s">
        <v>26</v>
      </c>
      <c r="D65" s="1" t="s">
        <v>27</v>
      </c>
      <c r="E65" s="1" t="s">
        <v>28</v>
      </c>
      <c r="F65" s="1" t="s">
        <v>20</v>
      </c>
      <c r="G65" s="1" t="s">
        <v>25</v>
      </c>
      <c r="H65" s="1" t="s">
        <v>17</v>
      </c>
      <c r="I65" s="4">
        <v>3551.76</v>
      </c>
      <c r="J65" s="4">
        <v>3696.1</v>
      </c>
      <c r="K65">
        <v>47</v>
      </c>
      <c r="L65" s="3">
        <v>0.15</v>
      </c>
      <c r="M65" s="4">
        <v>166932.72</v>
      </c>
      <c r="N65" s="4">
        <v>173709.65</v>
      </c>
      <c r="O65" s="4">
        <v>6776.93</v>
      </c>
      <c r="P65" s="3">
        <v>3.9012973660357997E-2</v>
      </c>
    </row>
    <row r="66" spans="1:16" x14ac:dyDescent="0.3">
      <c r="A66">
        <v>1045</v>
      </c>
      <c r="B66" s="2">
        <v>45271</v>
      </c>
      <c r="C66" s="1" t="s">
        <v>26</v>
      </c>
      <c r="D66" s="1" t="s">
        <v>19</v>
      </c>
      <c r="E66" s="1" t="s">
        <v>14</v>
      </c>
      <c r="F66" s="1" t="s">
        <v>20</v>
      </c>
      <c r="G66" s="1" t="s">
        <v>16</v>
      </c>
      <c r="H66" s="1" t="s">
        <v>29</v>
      </c>
      <c r="I66" s="4">
        <v>241.85</v>
      </c>
      <c r="J66" s="4">
        <v>613.09</v>
      </c>
      <c r="K66">
        <v>22</v>
      </c>
      <c r="L66" s="3">
        <v>0.06</v>
      </c>
      <c r="M66" s="4">
        <v>5320.7</v>
      </c>
      <c r="N66" s="4">
        <v>13486.66</v>
      </c>
      <c r="O66" s="4">
        <v>8165.96</v>
      </c>
      <c r="P66" s="3">
        <v>0.60548423405053597</v>
      </c>
    </row>
    <row r="67" spans="1:16" x14ac:dyDescent="0.3">
      <c r="A67">
        <v>1020</v>
      </c>
      <c r="B67" s="2">
        <v>45270</v>
      </c>
      <c r="C67" s="1" t="s">
        <v>23</v>
      </c>
      <c r="D67" s="1" t="s">
        <v>30</v>
      </c>
      <c r="E67" s="1" t="s">
        <v>28</v>
      </c>
      <c r="F67" s="1" t="s">
        <v>15</v>
      </c>
      <c r="G67" s="1" t="s">
        <v>25</v>
      </c>
      <c r="H67" s="1" t="s">
        <v>29</v>
      </c>
      <c r="I67" s="4">
        <v>4268.45</v>
      </c>
      <c r="J67" s="4">
        <v>4551.6000000000004</v>
      </c>
      <c r="K67">
        <v>45</v>
      </c>
      <c r="L67" s="3">
        <v>0.08</v>
      </c>
      <c r="M67" s="4">
        <v>192080.25</v>
      </c>
      <c r="N67" s="4">
        <v>204818.4</v>
      </c>
      <c r="O67" s="4">
        <v>12738.15</v>
      </c>
      <c r="P67" s="3">
        <v>6.2192410447498903E-2</v>
      </c>
    </row>
    <row r="68" spans="1:16" x14ac:dyDescent="0.3">
      <c r="A68">
        <v>1036</v>
      </c>
      <c r="B68" s="2">
        <v>45270</v>
      </c>
      <c r="C68" s="1" t="s">
        <v>18</v>
      </c>
      <c r="D68" s="1" t="s">
        <v>30</v>
      </c>
      <c r="E68" s="1" t="s">
        <v>22</v>
      </c>
      <c r="F68" s="1" t="s">
        <v>20</v>
      </c>
      <c r="G68" s="1" t="s">
        <v>16</v>
      </c>
      <c r="H68" s="1" t="s">
        <v>17</v>
      </c>
      <c r="I68" s="4">
        <v>2882.25</v>
      </c>
      <c r="J68" s="4">
        <v>3163.7</v>
      </c>
      <c r="K68">
        <v>7</v>
      </c>
      <c r="L68" s="3">
        <v>0.05</v>
      </c>
      <c r="M68" s="4">
        <v>20175.75</v>
      </c>
      <c r="N68" s="4">
        <v>22145.55</v>
      </c>
      <c r="O68" s="4">
        <v>1969.8</v>
      </c>
      <c r="P68" s="3">
        <v>8.8947892465980796E-2</v>
      </c>
    </row>
    <row r="69" spans="1:16" x14ac:dyDescent="0.3">
      <c r="A69">
        <v>1037</v>
      </c>
      <c r="B69" s="2">
        <v>45270</v>
      </c>
      <c r="C69" s="1" t="s">
        <v>23</v>
      </c>
      <c r="D69" s="1" t="s">
        <v>30</v>
      </c>
      <c r="E69" s="1" t="s">
        <v>28</v>
      </c>
      <c r="F69" s="1" t="s">
        <v>15</v>
      </c>
      <c r="G69" s="1" t="s">
        <v>16</v>
      </c>
      <c r="H69" s="1" t="s">
        <v>17</v>
      </c>
      <c r="I69" s="4">
        <v>2594.08</v>
      </c>
      <c r="J69" s="4">
        <v>3074.59</v>
      </c>
      <c r="K69">
        <v>32</v>
      </c>
      <c r="L69" s="3">
        <v>0.14000000000000001</v>
      </c>
      <c r="M69" s="4">
        <v>83010.559999999998</v>
      </c>
      <c r="N69" s="4">
        <v>98382.399999999994</v>
      </c>
      <c r="O69" s="4">
        <v>15371.84</v>
      </c>
      <c r="P69" s="3">
        <v>0.156245832587943</v>
      </c>
    </row>
    <row r="70" spans="1:16" x14ac:dyDescent="0.3">
      <c r="A70">
        <v>1062</v>
      </c>
      <c r="B70" s="2">
        <v>45270</v>
      </c>
      <c r="C70" s="1" t="s">
        <v>18</v>
      </c>
      <c r="D70" s="1" t="s">
        <v>19</v>
      </c>
      <c r="E70" s="1" t="s">
        <v>28</v>
      </c>
      <c r="F70" s="1" t="s">
        <v>20</v>
      </c>
      <c r="G70" s="1" t="s">
        <v>16</v>
      </c>
      <c r="H70" s="1" t="s">
        <v>17</v>
      </c>
      <c r="I70" s="4">
        <v>1190.08</v>
      </c>
      <c r="J70" s="4">
        <v>1292.94</v>
      </c>
      <c r="K70">
        <v>11</v>
      </c>
      <c r="L70" s="3">
        <v>0.13</v>
      </c>
      <c r="M70" s="4">
        <v>13090.88</v>
      </c>
      <c r="N70" s="4">
        <v>14220.91</v>
      </c>
      <c r="O70" s="4">
        <v>1130.03</v>
      </c>
      <c r="P70" s="3">
        <v>7.9462566038319596E-2</v>
      </c>
    </row>
    <row r="71" spans="1:16" x14ac:dyDescent="0.3">
      <c r="A71">
        <v>1098</v>
      </c>
      <c r="B71" s="2">
        <v>45270</v>
      </c>
      <c r="C71" s="1" t="s">
        <v>12</v>
      </c>
      <c r="D71" s="1" t="s">
        <v>13</v>
      </c>
      <c r="E71" s="1" t="s">
        <v>28</v>
      </c>
      <c r="F71" s="1" t="s">
        <v>15</v>
      </c>
      <c r="G71" s="1" t="s">
        <v>25</v>
      </c>
      <c r="H71" s="1" t="s">
        <v>17</v>
      </c>
      <c r="I71" s="4">
        <v>3895.62</v>
      </c>
      <c r="J71" s="4">
        <v>4055.44</v>
      </c>
      <c r="K71">
        <v>28</v>
      </c>
      <c r="L71" s="3">
        <v>0.03</v>
      </c>
      <c r="M71" s="4">
        <v>109077.36</v>
      </c>
      <c r="N71" s="4">
        <v>113551.48</v>
      </c>
      <c r="O71" s="4">
        <v>4474.12</v>
      </c>
      <c r="P71" s="3">
        <v>3.9401688115381701E-2</v>
      </c>
    </row>
    <row r="72" spans="1:16" x14ac:dyDescent="0.3">
      <c r="A72">
        <v>1008</v>
      </c>
      <c r="B72" s="2">
        <v>45268</v>
      </c>
      <c r="C72" s="1" t="s">
        <v>26</v>
      </c>
      <c r="D72" s="1" t="s">
        <v>27</v>
      </c>
      <c r="E72" s="1" t="s">
        <v>28</v>
      </c>
      <c r="F72" s="1" t="s">
        <v>15</v>
      </c>
      <c r="G72" s="1" t="s">
        <v>16</v>
      </c>
      <c r="H72" s="1" t="s">
        <v>29</v>
      </c>
      <c r="I72" s="4">
        <v>2907.22</v>
      </c>
      <c r="J72" s="4">
        <v>3385.61</v>
      </c>
      <c r="K72">
        <v>49</v>
      </c>
      <c r="L72" s="3">
        <v>0.13</v>
      </c>
      <c r="M72" s="4">
        <v>142453.78</v>
      </c>
      <c r="N72" s="4">
        <v>165888.51999999999</v>
      </c>
      <c r="O72" s="4">
        <v>23434.74</v>
      </c>
      <c r="P72" s="3">
        <v>0.14126800335550599</v>
      </c>
    </row>
    <row r="73" spans="1:16" x14ac:dyDescent="0.3">
      <c r="A73">
        <v>1031</v>
      </c>
      <c r="B73" s="2">
        <v>45268</v>
      </c>
      <c r="C73" s="1" t="s">
        <v>18</v>
      </c>
      <c r="D73" s="1" t="s">
        <v>30</v>
      </c>
      <c r="E73" s="1" t="s">
        <v>22</v>
      </c>
      <c r="F73" s="1" t="s">
        <v>15</v>
      </c>
      <c r="G73" s="1" t="s">
        <v>25</v>
      </c>
      <c r="H73" s="1" t="s">
        <v>29</v>
      </c>
      <c r="I73" s="4">
        <v>4236.05</v>
      </c>
      <c r="J73" s="4">
        <v>4382.32</v>
      </c>
      <c r="K73">
        <v>22</v>
      </c>
      <c r="L73" s="3">
        <v>0.2</v>
      </c>
      <c r="M73" s="4">
        <v>93193.1</v>
      </c>
      <c r="N73" s="4">
        <v>96406.64</v>
      </c>
      <c r="O73" s="4">
        <v>3213.54</v>
      </c>
      <c r="P73" s="3">
        <v>3.3333181199967102E-2</v>
      </c>
    </row>
    <row r="74" spans="1:16" x14ac:dyDescent="0.3">
      <c r="A74">
        <v>1095</v>
      </c>
      <c r="B74" s="2">
        <v>45268</v>
      </c>
      <c r="C74" s="1" t="s">
        <v>12</v>
      </c>
      <c r="D74" s="1" t="s">
        <v>13</v>
      </c>
      <c r="E74" s="1" t="s">
        <v>14</v>
      </c>
      <c r="F74" s="1" t="s">
        <v>15</v>
      </c>
      <c r="G74" s="1" t="s">
        <v>21</v>
      </c>
      <c r="H74" s="1" t="s">
        <v>29</v>
      </c>
      <c r="I74" s="4">
        <v>3191.05</v>
      </c>
      <c r="J74" s="4">
        <v>3555.35</v>
      </c>
      <c r="K74">
        <v>4</v>
      </c>
      <c r="L74" s="3">
        <v>0.28000000000000003</v>
      </c>
      <c r="M74" s="4">
        <v>12764.2</v>
      </c>
      <c r="N74" s="4">
        <v>14220.28</v>
      </c>
      <c r="O74" s="4">
        <v>1456.08</v>
      </c>
      <c r="P74" s="3">
        <v>0.102394608263691</v>
      </c>
    </row>
    <row r="75" spans="1:16" x14ac:dyDescent="0.3">
      <c r="A75">
        <v>1099</v>
      </c>
      <c r="B75" s="2">
        <v>45267</v>
      </c>
      <c r="C75" s="1" t="s">
        <v>23</v>
      </c>
      <c r="D75" s="1" t="s">
        <v>13</v>
      </c>
      <c r="E75" s="1" t="s">
        <v>24</v>
      </c>
      <c r="F75" s="1" t="s">
        <v>20</v>
      </c>
      <c r="G75" s="1" t="s">
        <v>25</v>
      </c>
      <c r="H75" s="1" t="s">
        <v>17</v>
      </c>
      <c r="I75" s="4">
        <v>2471.67</v>
      </c>
      <c r="J75" s="4">
        <v>2533.04</v>
      </c>
      <c r="K75">
        <v>22</v>
      </c>
      <c r="L75" s="3">
        <v>0.02</v>
      </c>
      <c r="M75" s="4">
        <v>54376.74</v>
      </c>
      <c r="N75" s="4">
        <v>55726.44</v>
      </c>
      <c r="O75" s="4">
        <v>1349.7</v>
      </c>
      <c r="P75" s="3">
        <v>2.42201009072175E-2</v>
      </c>
    </row>
    <row r="76" spans="1:16" x14ac:dyDescent="0.3">
      <c r="A76">
        <v>1073</v>
      </c>
      <c r="B76" s="2">
        <v>45266</v>
      </c>
      <c r="C76" s="1" t="s">
        <v>26</v>
      </c>
      <c r="D76" s="1" t="s">
        <v>30</v>
      </c>
      <c r="E76" s="1" t="s">
        <v>22</v>
      </c>
      <c r="F76" s="1" t="s">
        <v>20</v>
      </c>
      <c r="G76" s="1" t="s">
        <v>25</v>
      </c>
      <c r="H76" s="1" t="s">
        <v>17</v>
      </c>
      <c r="I76" s="4">
        <v>4368.97</v>
      </c>
      <c r="J76" s="4">
        <v>4696.8500000000004</v>
      </c>
      <c r="K76">
        <v>31</v>
      </c>
      <c r="L76" s="3">
        <v>0.25</v>
      </c>
      <c r="M76" s="4">
        <v>135438.07</v>
      </c>
      <c r="N76" s="4">
        <v>145594.6</v>
      </c>
      <c r="O76" s="4">
        <v>10156.530000000001</v>
      </c>
      <c r="P76" s="3">
        <v>6.9758974577353805E-2</v>
      </c>
    </row>
    <row r="77" spans="1:16" x14ac:dyDescent="0.3">
      <c r="A77">
        <v>1085</v>
      </c>
      <c r="B77" s="2">
        <v>45266</v>
      </c>
      <c r="C77" s="1" t="s">
        <v>12</v>
      </c>
      <c r="D77" s="1" t="s">
        <v>30</v>
      </c>
      <c r="E77" s="1" t="s">
        <v>28</v>
      </c>
      <c r="F77" s="1" t="s">
        <v>15</v>
      </c>
      <c r="G77" s="1" t="s">
        <v>16</v>
      </c>
      <c r="H77" s="1" t="s">
        <v>17</v>
      </c>
      <c r="I77" s="4">
        <v>3117.75</v>
      </c>
      <c r="J77" s="4">
        <v>3159.88</v>
      </c>
      <c r="K77">
        <v>42</v>
      </c>
      <c r="L77" s="3">
        <v>0.04</v>
      </c>
      <c r="M77" s="4">
        <v>130945.5</v>
      </c>
      <c r="N77" s="4">
        <v>132713.28</v>
      </c>
      <c r="O77" s="4">
        <v>1767.78</v>
      </c>
      <c r="P77" s="3">
        <v>1.33202946984657E-2</v>
      </c>
    </row>
    <row r="78" spans="1:16" x14ac:dyDescent="0.3">
      <c r="A78">
        <v>1008</v>
      </c>
      <c r="B78" s="2">
        <v>45265</v>
      </c>
      <c r="C78" s="1" t="s">
        <v>31</v>
      </c>
      <c r="D78" s="1" t="s">
        <v>13</v>
      </c>
      <c r="E78" s="1" t="s">
        <v>28</v>
      </c>
      <c r="F78" s="1" t="s">
        <v>20</v>
      </c>
      <c r="G78" s="1" t="s">
        <v>21</v>
      </c>
      <c r="H78" s="1" t="s">
        <v>17</v>
      </c>
      <c r="I78" s="4">
        <v>68.989999999999995</v>
      </c>
      <c r="J78" s="4">
        <v>429.29</v>
      </c>
      <c r="K78">
        <v>27</v>
      </c>
      <c r="L78" s="3">
        <v>0.18</v>
      </c>
      <c r="M78" s="4">
        <v>1862.73</v>
      </c>
      <c r="N78" s="4">
        <v>11585.97</v>
      </c>
      <c r="O78" s="4">
        <v>9723.24</v>
      </c>
      <c r="P78" s="3">
        <v>0.83922537344736803</v>
      </c>
    </row>
    <row r="79" spans="1:16" x14ac:dyDescent="0.3">
      <c r="A79">
        <v>1094</v>
      </c>
      <c r="B79" s="2">
        <v>45265</v>
      </c>
      <c r="C79" s="1" t="s">
        <v>12</v>
      </c>
      <c r="D79" s="1" t="s">
        <v>13</v>
      </c>
      <c r="E79" s="1" t="s">
        <v>24</v>
      </c>
      <c r="F79" s="1" t="s">
        <v>20</v>
      </c>
      <c r="G79" s="1" t="s">
        <v>16</v>
      </c>
      <c r="H79" s="1" t="s">
        <v>29</v>
      </c>
      <c r="I79" s="4">
        <v>333.32</v>
      </c>
      <c r="J79" s="4">
        <v>700.25</v>
      </c>
      <c r="K79">
        <v>12</v>
      </c>
      <c r="L79" s="3">
        <v>0.14000000000000001</v>
      </c>
      <c r="M79" s="4">
        <v>3999.84</v>
      </c>
      <c r="N79" s="4">
        <v>8401.32</v>
      </c>
      <c r="O79" s="4">
        <v>4401.4799999999996</v>
      </c>
      <c r="P79" s="3">
        <v>0.52390338661067604</v>
      </c>
    </row>
    <row r="80" spans="1:16" x14ac:dyDescent="0.3">
      <c r="A80">
        <v>1014</v>
      </c>
      <c r="B80" s="2">
        <v>45264</v>
      </c>
      <c r="C80" s="1" t="s">
        <v>23</v>
      </c>
      <c r="D80" s="1" t="s">
        <v>19</v>
      </c>
      <c r="E80" s="1" t="s">
        <v>24</v>
      </c>
      <c r="F80" s="1" t="s">
        <v>15</v>
      </c>
      <c r="G80" s="1" t="s">
        <v>25</v>
      </c>
      <c r="H80" s="1" t="s">
        <v>29</v>
      </c>
      <c r="I80" s="4">
        <v>493.35</v>
      </c>
      <c r="J80" s="4">
        <v>799.27</v>
      </c>
      <c r="K80">
        <v>49</v>
      </c>
      <c r="L80" s="3">
        <v>0.1</v>
      </c>
      <c r="M80" s="4">
        <v>24174.15</v>
      </c>
      <c r="N80" s="4">
        <v>39159.33</v>
      </c>
      <c r="O80" s="4">
        <v>14985.18</v>
      </c>
      <c r="P80" s="3">
        <v>0.38267202222305602</v>
      </c>
    </row>
    <row r="81" spans="1:16" x14ac:dyDescent="0.3">
      <c r="A81">
        <v>1063</v>
      </c>
      <c r="B81" s="2">
        <v>45264</v>
      </c>
      <c r="C81" s="1" t="s">
        <v>18</v>
      </c>
      <c r="D81" s="1" t="s">
        <v>27</v>
      </c>
      <c r="E81" s="1" t="s">
        <v>14</v>
      </c>
      <c r="F81" s="1" t="s">
        <v>20</v>
      </c>
      <c r="G81" s="1" t="s">
        <v>21</v>
      </c>
      <c r="H81" s="1" t="s">
        <v>17</v>
      </c>
      <c r="I81" s="4">
        <v>2188.35</v>
      </c>
      <c r="J81" s="4">
        <v>2605.36</v>
      </c>
      <c r="K81">
        <v>14</v>
      </c>
      <c r="L81" s="3">
        <v>0.2</v>
      </c>
      <c r="M81" s="4">
        <v>30636.9</v>
      </c>
      <c r="N81" s="4">
        <v>36472.239999999998</v>
      </c>
      <c r="O81" s="4">
        <v>5835.34</v>
      </c>
      <c r="P81" s="3">
        <v>0.159994011884107</v>
      </c>
    </row>
    <row r="82" spans="1:16" x14ac:dyDescent="0.3">
      <c r="A82">
        <v>1011</v>
      </c>
      <c r="B82" s="2">
        <v>45263</v>
      </c>
      <c r="C82" s="1" t="s">
        <v>23</v>
      </c>
      <c r="D82" s="1" t="s">
        <v>13</v>
      </c>
      <c r="E82" s="1" t="s">
        <v>28</v>
      </c>
      <c r="F82" s="1" t="s">
        <v>20</v>
      </c>
      <c r="G82" s="1" t="s">
        <v>16</v>
      </c>
      <c r="H82" s="1" t="s">
        <v>29</v>
      </c>
      <c r="I82" s="4">
        <v>1442.69</v>
      </c>
      <c r="J82" s="4">
        <v>1882.57</v>
      </c>
      <c r="K82">
        <v>13</v>
      </c>
      <c r="L82" s="3">
        <v>0.28000000000000003</v>
      </c>
      <c r="M82" s="4">
        <v>18754.97</v>
      </c>
      <c r="N82" s="4">
        <v>24469.77</v>
      </c>
      <c r="O82" s="4">
        <v>5714.8</v>
      </c>
      <c r="P82" s="3">
        <v>0.233545309171275</v>
      </c>
    </row>
    <row r="83" spans="1:16" x14ac:dyDescent="0.3">
      <c r="A83">
        <v>1069</v>
      </c>
      <c r="B83" s="2">
        <v>45263</v>
      </c>
      <c r="C83" s="1" t="s">
        <v>18</v>
      </c>
      <c r="D83" s="1" t="s">
        <v>30</v>
      </c>
      <c r="E83" s="1" t="s">
        <v>28</v>
      </c>
      <c r="F83" s="1" t="s">
        <v>15</v>
      </c>
      <c r="G83" s="1" t="s">
        <v>16</v>
      </c>
      <c r="H83" s="1" t="s">
        <v>29</v>
      </c>
      <c r="I83" s="4">
        <v>2885.16</v>
      </c>
      <c r="J83" s="4">
        <v>3224.84</v>
      </c>
      <c r="K83">
        <v>35</v>
      </c>
      <c r="L83" s="3">
        <v>0.14000000000000001</v>
      </c>
      <c r="M83" s="4">
        <v>100980.6</v>
      </c>
      <c r="N83" s="4">
        <v>112864.5</v>
      </c>
      <c r="O83" s="4">
        <v>11883.9</v>
      </c>
      <c r="P83" s="3">
        <v>0.105293515675877</v>
      </c>
    </row>
    <row r="84" spans="1:16" x14ac:dyDescent="0.3">
      <c r="A84">
        <v>1092</v>
      </c>
      <c r="B84" s="2">
        <v>45263</v>
      </c>
      <c r="C84" s="1" t="s">
        <v>18</v>
      </c>
      <c r="D84" s="1" t="s">
        <v>13</v>
      </c>
      <c r="E84" s="1" t="s">
        <v>14</v>
      </c>
      <c r="F84" s="1" t="s">
        <v>20</v>
      </c>
      <c r="G84" s="1" t="s">
        <v>21</v>
      </c>
      <c r="H84" s="1" t="s">
        <v>17</v>
      </c>
      <c r="I84" s="4">
        <v>422.74</v>
      </c>
      <c r="J84" s="4">
        <v>737.49</v>
      </c>
      <c r="K84">
        <v>6</v>
      </c>
      <c r="L84" s="3">
        <v>0.19</v>
      </c>
      <c r="M84" s="4">
        <v>2536.44</v>
      </c>
      <c r="N84" s="4">
        <v>4423.8</v>
      </c>
      <c r="O84" s="4">
        <v>1887.36</v>
      </c>
      <c r="P84" s="3">
        <v>0.42663773226637702</v>
      </c>
    </row>
    <row r="85" spans="1:16" x14ac:dyDescent="0.3">
      <c r="A85">
        <v>1077</v>
      </c>
      <c r="B85" s="2">
        <v>45262</v>
      </c>
      <c r="C85" s="1" t="s">
        <v>18</v>
      </c>
      <c r="D85" s="1" t="s">
        <v>13</v>
      </c>
      <c r="E85" s="1" t="s">
        <v>28</v>
      </c>
      <c r="F85" s="1" t="s">
        <v>20</v>
      </c>
      <c r="G85" s="1" t="s">
        <v>21</v>
      </c>
      <c r="H85" s="1" t="s">
        <v>17</v>
      </c>
      <c r="I85" s="4">
        <v>2258.54</v>
      </c>
      <c r="J85" s="4">
        <v>2439.4899999999998</v>
      </c>
      <c r="K85">
        <v>24</v>
      </c>
      <c r="L85" s="3">
        <v>0.2</v>
      </c>
      <c r="M85" s="4">
        <v>54204.959999999999</v>
      </c>
      <c r="N85" s="4">
        <v>58542.96</v>
      </c>
      <c r="O85" s="4">
        <v>4338</v>
      </c>
      <c r="P85" s="3">
        <v>7.4099430572010697E-2</v>
      </c>
    </row>
    <row r="86" spans="1:16" x14ac:dyDescent="0.3">
      <c r="A86">
        <v>1055</v>
      </c>
      <c r="B86" s="2">
        <v>45261</v>
      </c>
      <c r="C86" s="1" t="s">
        <v>31</v>
      </c>
      <c r="D86" s="1" t="s">
        <v>19</v>
      </c>
      <c r="E86" s="1" t="s">
        <v>24</v>
      </c>
      <c r="F86" s="1" t="s">
        <v>20</v>
      </c>
      <c r="G86" s="1" t="s">
        <v>25</v>
      </c>
      <c r="H86" s="1" t="s">
        <v>29</v>
      </c>
      <c r="I86" s="4">
        <v>3513</v>
      </c>
      <c r="J86" s="4">
        <v>3838.42</v>
      </c>
      <c r="K86">
        <v>8</v>
      </c>
      <c r="L86" s="3">
        <v>0.13</v>
      </c>
      <c r="M86" s="4">
        <v>28104</v>
      </c>
      <c r="N86" s="4">
        <v>30706.32</v>
      </c>
      <c r="O86" s="4">
        <v>2602.3200000000002</v>
      </c>
      <c r="P86" s="3">
        <v>8.4748677145291301E-2</v>
      </c>
    </row>
    <row r="87" spans="1:16" x14ac:dyDescent="0.3">
      <c r="A87">
        <v>1073</v>
      </c>
      <c r="B87" s="2">
        <v>45261</v>
      </c>
      <c r="C87" s="1" t="s">
        <v>18</v>
      </c>
      <c r="D87" s="1" t="s">
        <v>19</v>
      </c>
      <c r="E87" s="1" t="s">
        <v>24</v>
      </c>
      <c r="F87" s="1" t="s">
        <v>20</v>
      </c>
      <c r="G87" s="1" t="s">
        <v>21</v>
      </c>
      <c r="H87" s="1" t="s">
        <v>17</v>
      </c>
      <c r="I87" s="4">
        <v>2565.3000000000002</v>
      </c>
      <c r="J87" s="4">
        <v>3007.47</v>
      </c>
      <c r="K87">
        <v>40</v>
      </c>
      <c r="L87" s="3">
        <v>0.17</v>
      </c>
      <c r="M87" s="4">
        <v>102612</v>
      </c>
      <c r="N87" s="4">
        <v>120292</v>
      </c>
      <c r="O87" s="4">
        <v>17680</v>
      </c>
      <c r="P87" s="3">
        <v>0.14697569248162801</v>
      </c>
    </row>
    <row r="88" spans="1:16" x14ac:dyDescent="0.3">
      <c r="A88">
        <v>1096</v>
      </c>
      <c r="B88" s="2">
        <v>45261</v>
      </c>
      <c r="C88" s="1" t="s">
        <v>23</v>
      </c>
      <c r="D88" s="1" t="s">
        <v>13</v>
      </c>
      <c r="E88" s="1" t="s">
        <v>24</v>
      </c>
      <c r="F88" s="1" t="s">
        <v>20</v>
      </c>
      <c r="G88" s="1" t="s">
        <v>25</v>
      </c>
      <c r="H88" s="1" t="s">
        <v>29</v>
      </c>
      <c r="I88" s="4">
        <v>1994.9</v>
      </c>
      <c r="J88" s="4">
        <v>2066.5</v>
      </c>
      <c r="K88">
        <v>20</v>
      </c>
      <c r="L88" s="3">
        <v>0.06</v>
      </c>
      <c r="M88" s="4">
        <v>39898</v>
      </c>
      <c r="N88" s="4">
        <v>41328.800000000003</v>
      </c>
      <c r="O88" s="4">
        <v>1430.8</v>
      </c>
      <c r="P88" s="3">
        <v>3.4619926056406201E-2</v>
      </c>
    </row>
    <row r="89" spans="1:16" x14ac:dyDescent="0.3">
      <c r="A89">
        <v>1100</v>
      </c>
      <c r="B89" s="2">
        <v>45261</v>
      </c>
      <c r="C89" s="1" t="s">
        <v>26</v>
      </c>
      <c r="D89" s="1" t="s">
        <v>13</v>
      </c>
      <c r="E89" s="1" t="s">
        <v>24</v>
      </c>
      <c r="F89" s="1" t="s">
        <v>20</v>
      </c>
      <c r="G89" s="1" t="s">
        <v>16</v>
      </c>
      <c r="H89" s="1" t="s">
        <v>17</v>
      </c>
      <c r="I89" s="4">
        <v>4991.09</v>
      </c>
      <c r="J89" s="4">
        <v>5402.28</v>
      </c>
      <c r="K89">
        <v>34</v>
      </c>
      <c r="L89" s="3">
        <v>0</v>
      </c>
      <c r="M89" s="4">
        <v>169697.06</v>
      </c>
      <c r="N89" s="4">
        <v>183677.52</v>
      </c>
      <c r="O89" s="4">
        <v>13980.46</v>
      </c>
      <c r="P89" s="3">
        <v>7.6114159206853396E-2</v>
      </c>
    </row>
    <row r="90" spans="1:16" x14ac:dyDescent="0.3">
      <c r="A90">
        <v>1082</v>
      </c>
      <c r="B90" s="2">
        <v>45260</v>
      </c>
      <c r="C90" s="1" t="s">
        <v>26</v>
      </c>
      <c r="D90" s="1" t="s">
        <v>27</v>
      </c>
      <c r="E90" s="1" t="s">
        <v>28</v>
      </c>
      <c r="F90" s="1" t="s">
        <v>20</v>
      </c>
      <c r="G90" s="1" t="s">
        <v>25</v>
      </c>
      <c r="H90" s="1" t="s">
        <v>29</v>
      </c>
      <c r="I90" s="4">
        <v>1196.42</v>
      </c>
      <c r="J90" s="4">
        <v>1444.97</v>
      </c>
      <c r="K90">
        <v>41</v>
      </c>
      <c r="L90" s="3">
        <v>0.21</v>
      </c>
      <c r="M90" s="4">
        <v>49053.22</v>
      </c>
      <c r="N90" s="4">
        <v>59235.16</v>
      </c>
      <c r="O90" s="4">
        <v>10181.94</v>
      </c>
      <c r="P90" s="3">
        <v>0.17189014092305999</v>
      </c>
    </row>
    <row r="91" spans="1:16" x14ac:dyDescent="0.3">
      <c r="A91">
        <v>1002</v>
      </c>
      <c r="B91" s="2">
        <v>45259</v>
      </c>
      <c r="C91" s="1" t="s">
        <v>18</v>
      </c>
      <c r="D91" s="1" t="s">
        <v>30</v>
      </c>
      <c r="E91" s="1" t="s">
        <v>24</v>
      </c>
      <c r="F91" s="1" t="s">
        <v>15</v>
      </c>
      <c r="G91" s="1" t="s">
        <v>21</v>
      </c>
      <c r="H91" s="1" t="s">
        <v>17</v>
      </c>
      <c r="I91" s="4">
        <v>3305.94</v>
      </c>
      <c r="J91" s="4">
        <v>3599.27</v>
      </c>
      <c r="K91">
        <v>24</v>
      </c>
      <c r="L91" s="3">
        <v>0.09</v>
      </c>
      <c r="M91" s="4">
        <v>79342.559999999998</v>
      </c>
      <c r="N91" s="4">
        <v>86380.32</v>
      </c>
      <c r="O91" s="4">
        <v>7037.76</v>
      </c>
      <c r="P91" s="3">
        <v>8.1474113548085994E-2</v>
      </c>
    </row>
    <row r="92" spans="1:16" x14ac:dyDescent="0.3">
      <c r="A92">
        <v>1086</v>
      </c>
      <c r="B92" s="2">
        <v>45259</v>
      </c>
      <c r="C92" s="1" t="s">
        <v>23</v>
      </c>
      <c r="D92" s="1" t="s">
        <v>19</v>
      </c>
      <c r="E92" s="1" t="s">
        <v>22</v>
      </c>
      <c r="F92" s="1" t="s">
        <v>15</v>
      </c>
      <c r="G92" s="1" t="s">
        <v>21</v>
      </c>
      <c r="H92" s="1" t="s">
        <v>17</v>
      </c>
      <c r="I92" s="4">
        <v>737.9</v>
      </c>
      <c r="J92" s="4">
        <v>1182</v>
      </c>
      <c r="K92">
        <v>7</v>
      </c>
      <c r="L92" s="3">
        <v>0.23</v>
      </c>
      <c r="M92" s="4">
        <v>5165.3</v>
      </c>
      <c r="N92" s="4">
        <v>8272.39</v>
      </c>
      <c r="O92" s="4">
        <v>3107.09</v>
      </c>
      <c r="P92" s="3">
        <v>0.37559762051837497</v>
      </c>
    </row>
    <row r="93" spans="1:16" x14ac:dyDescent="0.3">
      <c r="A93">
        <v>1005</v>
      </c>
      <c r="B93" s="2">
        <v>45258</v>
      </c>
      <c r="C93" s="1" t="s">
        <v>18</v>
      </c>
      <c r="D93" s="1" t="s">
        <v>19</v>
      </c>
      <c r="E93" s="1" t="s">
        <v>24</v>
      </c>
      <c r="F93" s="1" t="s">
        <v>15</v>
      </c>
      <c r="G93" s="1" t="s">
        <v>25</v>
      </c>
      <c r="H93" s="1" t="s">
        <v>17</v>
      </c>
      <c r="I93" s="4">
        <v>1200.4000000000001</v>
      </c>
      <c r="J93" s="4">
        <v>1430.45</v>
      </c>
      <c r="K93">
        <v>43</v>
      </c>
      <c r="L93" s="3">
        <v>0.08</v>
      </c>
      <c r="M93" s="4">
        <v>51617.2</v>
      </c>
      <c r="N93" s="4">
        <v>61505.91</v>
      </c>
      <c r="O93" s="4">
        <v>9888.7099999999991</v>
      </c>
      <c r="P93" s="3">
        <v>0.16077658228290601</v>
      </c>
    </row>
    <row r="94" spans="1:16" x14ac:dyDescent="0.3">
      <c r="A94">
        <v>1044</v>
      </c>
      <c r="B94" s="2">
        <v>45258</v>
      </c>
      <c r="C94" s="1" t="s">
        <v>31</v>
      </c>
      <c r="D94" s="1" t="s">
        <v>19</v>
      </c>
      <c r="E94" s="1" t="s">
        <v>28</v>
      </c>
      <c r="F94" s="1" t="s">
        <v>15</v>
      </c>
      <c r="G94" s="1" t="s">
        <v>21</v>
      </c>
      <c r="H94" s="1" t="s">
        <v>29</v>
      </c>
      <c r="I94" s="4">
        <v>3703.93</v>
      </c>
      <c r="J94" s="4">
        <v>3840.24</v>
      </c>
      <c r="K94">
        <v>6</v>
      </c>
      <c r="L94" s="3">
        <v>7.0000000000000007E-2</v>
      </c>
      <c r="M94" s="4">
        <v>22223.58</v>
      </c>
      <c r="N94" s="4">
        <v>23041.02</v>
      </c>
      <c r="O94" s="4">
        <v>817.44</v>
      </c>
      <c r="P94" s="3">
        <v>3.54775960439251E-2</v>
      </c>
    </row>
    <row r="95" spans="1:16" x14ac:dyDescent="0.3">
      <c r="A95">
        <v>1089</v>
      </c>
      <c r="B95" s="2">
        <v>45258</v>
      </c>
      <c r="C95" s="1" t="s">
        <v>18</v>
      </c>
      <c r="D95" s="1" t="s">
        <v>19</v>
      </c>
      <c r="E95" s="1" t="s">
        <v>24</v>
      </c>
      <c r="F95" s="1" t="s">
        <v>20</v>
      </c>
      <c r="G95" s="1" t="s">
        <v>21</v>
      </c>
      <c r="H95" s="1" t="s">
        <v>29</v>
      </c>
      <c r="I95" s="4">
        <v>4349.34</v>
      </c>
      <c r="J95" s="4">
        <v>4629.9799999999996</v>
      </c>
      <c r="K95">
        <v>8</v>
      </c>
      <c r="L95" s="3">
        <v>0.01</v>
      </c>
      <c r="M95" s="4">
        <v>34794.720000000001</v>
      </c>
      <c r="N95" s="4">
        <v>37039.760000000002</v>
      </c>
      <c r="O95" s="4">
        <v>2245.04</v>
      </c>
      <c r="P95" s="3">
        <v>6.0611623833415798E-2</v>
      </c>
    </row>
    <row r="96" spans="1:16" x14ac:dyDescent="0.3">
      <c r="A96">
        <v>1021</v>
      </c>
      <c r="B96" s="2">
        <v>45257</v>
      </c>
      <c r="C96" s="1" t="s">
        <v>26</v>
      </c>
      <c r="D96" s="1" t="s">
        <v>27</v>
      </c>
      <c r="E96" s="1" t="s">
        <v>24</v>
      </c>
      <c r="F96" s="1" t="s">
        <v>20</v>
      </c>
      <c r="G96" s="1" t="s">
        <v>25</v>
      </c>
      <c r="H96" s="1" t="s">
        <v>29</v>
      </c>
      <c r="I96" s="4">
        <v>2254.9899999999998</v>
      </c>
      <c r="J96" s="4">
        <v>2441.79</v>
      </c>
      <c r="K96">
        <v>31</v>
      </c>
      <c r="L96" s="3">
        <v>0.24</v>
      </c>
      <c r="M96" s="4">
        <v>69904.69</v>
      </c>
      <c r="N96" s="4">
        <v>75688.05</v>
      </c>
      <c r="O96" s="4">
        <v>5783.36</v>
      </c>
      <c r="P96" s="3">
        <v>7.6410476951117107E-2</v>
      </c>
    </row>
    <row r="97" spans="1:16" x14ac:dyDescent="0.3">
      <c r="A97">
        <v>1030</v>
      </c>
      <c r="B97" s="2">
        <v>45256</v>
      </c>
      <c r="C97" s="1" t="s">
        <v>26</v>
      </c>
      <c r="D97" s="1" t="s">
        <v>19</v>
      </c>
      <c r="E97" s="1" t="s">
        <v>28</v>
      </c>
      <c r="F97" s="1" t="s">
        <v>20</v>
      </c>
      <c r="G97" s="1" t="s">
        <v>25</v>
      </c>
      <c r="H97" s="1" t="s">
        <v>17</v>
      </c>
      <c r="I97" s="4">
        <v>2041.75</v>
      </c>
      <c r="J97" s="4">
        <v>2299.37</v>
      </c>
      <c r="K97">
        <v>39</v>
      </c>
      <c r="L97" s="3">
        <v>0.24</v>
      </c>
      <c r="M97" s="4">
        <v>79628.25</v>
      </c>
      <c r="N97" s="4">
        <v>89666.07</v>
      </c>
      <c r="O97" s="4">
        <v>10037.82</v>
      </c>
      <c r="P97" s="3">
        <v>0.11194669287948</v>
      </c>
    </row>
    <row r="98" spans="1:16" x14ac:dyDescent="0.3">
      <c r="A98">
        <v>1043</v>
      </c>
      <c r="B98" s="2">
        <v>45256</v>
      </c>
      <c r="C98" s="1" t="s">
        <v>23</v>
      </c>
      <c r="D98" s="1" t="s">
        <v>27</v>
      </c>
      <c r="E98" s="1" t="s">
        <v>28</v>
      </c>
      <c r="F98" s="1" t="s">
        <v>15</v>
      </c>
      <c r="G98" s="1" t="s">
        <v>25</v>
      </c>
      <c r="H98" s="1" t="s">
        <v>29</v>
      </c>
      <c r="I98" s="4">
        <v>2009.1</v>
      </c>
      <c r="J98" s="4">
        <v>2186.42</v>
      </c>
      <c r="K98">
        <v>3</v>
      </c>
      <c r="L98" s="3">
        <v>0.25</v>
      </c>
      <c r="M98" s="4">
        <v>6027.3</v>
      </c>
      <c r="N98" s="4">
        <v>6558.51</v>
      </c>
      <c r="O98" s="4">
        <v>531.21</v>
      </c>
      <c r="P98" s="3">
        <v>8.0995530997131998E-2</v>
      </c>
    </row>
    <row r="99" spans="1:16" x14ac:dyDescent="0.3">
      <c r="A99">
        <v>1051</v>
      </c>
      <c r="B99" s="2">
        <v>45256</v>
      </c>
      <c r="C99" s="1" t="s">
        <v>12</v>
      </c>
      <c r="D99" s="1" t="s">
        <v>27</v>
      </c>
      <c r="E99" s="1" t="s">
        <v>22</v>
      </c>
      <c r="F99" s="1" t="s">
        <v>15</v>
      </c>
      <c r="G99" s="1" t="s">
        <v>16</v>
      </c>
      <c r="H99" s="1" t="s">
        <v>17</v>
      </c>
      <c r="I99" s="4">
        <v>3970.37</v>
      </c>
      <c r="J99" s="4">
        <v>4257.5200000000004</v>
      </c>
      <c r="K99">
        <v>8</v>
      </c>
      <c r="L99" s="3">
        <v>0.11</v>
      </c>
      <c r="M99" s="4">
        <v>31762.959999999999</v>
      </c>
      <c r="N99" s="4">
        <v>34059.279999999999</v>
      </c>
      <c r="O99" s="4">
        <v>2296.3200000000002</v>
      </c>
      <c r="P99" s="3">
        <v>6.7421272557728798E-2</v>
      </c>
    </row>
    <row r="100" spans="1:16" x14ac:dyDescent="0.3">
      <c r="A100">
        <v>1070</v>
      </c>
      <c r="B100" s="2">
        <v>45256</v>
      </c>
      <c r="C100" s="1" t="s">
        <v>18</v>
      </c>
      <c r="D100" s="1" t="s">
        <v>30</v>
      </c>
      <c r="E100" s="1" t="s">
        <v>24</v>
      </c>
      <c r="F100" s="1" t="s">
        <v>15</v>
      </c>
      <c r="G100" s="1" t="s">
        <v>16</v>
      </c>
      <c r="H100" s="1" t="s">
        <v>29</v>
      </c>
      <c r="I100" s="4">
        <v>3089.96</v>
      </c>
      <c r="J100" s="4">
        <v>3258.45</v>
      </c>
      <c r="K100">
        <v>40</v>
      </c>
      <c r="L100" s="3">
        <v>0.28999999999999998</v>
      </c>
      <c r="M100" s="4">
        <v>123598.39999999999</v>
      </c>
      <c r="N100" s="4">
        <v>130326.39999999999</v>
      </c>
      <c r="O100" s="4">
        <v>6728</v>
      </c>
      <c r="P100" s="3">
        <v>5.1624229626537697E-2</v>
      </c>
    </row>
    <row r="101" spans="1:16" x14ac:dyDescent="0.3">
      <c r="A101">
        <v>1095</v>
      </c>
      <c r="B101" s="2">
        <v>45256</v>
      </c>
      <c r="C101" s="1" t="s">
        <v>31</v>
      </c>
      <c r="D101" s="1" t="s">
        <v>19</v>
      </c>
      <c r="E101" s="1" t="s">
        <v>22</v>
      </c>
      <c r="F101" s="1" t="s">
        <v>20</v>
      </c>
      <c r="G101" s="1" t="s">
        <v>25</v>
      </c>
      <c r="H101" s="1" t="s">
        <v>29</v>
      </c>
      <c r="I101" s="4">
        <v>4257.24</v>
      </c>
      <c r="J101" s="4">
        <v>4355.87</v>
      </c>
      <c r="K101">
        <v>7</v>
      </c>
      <c r="L101" s="3">
        <v>0.03</v>
      </c>
      <c r="M101" s="4">
        <v>29800.68</v>
      </c>
      <c r="N101" s="4">
        <v>30490.880000000001</v>
      </c>
      <c r="O101" s="4">
        <v>690.2</v>
      </c>
      <c r="P101" s="3">
        <v>2.2636276814575401E-2</v>
      </c>
    </row>
    <row r="102" spans="1:16" x14ac:dyDescent="0.3">
      <c r="A102">
        <v>1074</v>
      </c>
      <c r="B102" s="2">
        <v>45255</v>
      </c>
      <c r="C102" s="1" t="s">
        <v>12</v>
      </c>
      <c r="D102" s="1" t="s">
        <v>30</v>
      </c>
      <c r="E102" s="1" t="s">
        <v>24</v>
      </c>
      <c r="F102" s="1" t="s">
        <v>20</v>
      </c>
      <c r="G102" s="1" t="s">
        <v>16</v>
      </c>
      <c r="H102" s="1" t="s">
        <v>29</v>
      </c>
      <c r="I102" s="4">
        <v>2120.81</v>
      </c>
      <c r="J102" s="4">
        <v>2611.94</v>
      </c>
      <c r="K102">
        <v>42</v>
      </c>
      <c r="L102" s="3">
        <v>0.23</v>
      </c>
      <c r="M102" s="4">
        <v>89074.02</v>
      </c>
      <c r="N102" s="4">
        <v>109691.82</v>
      </c>
      <c r="O102" s="4">
        <v>20617.8</v>
      </c>
      <c r="P102" s="3">
        <v>0.18796114423117399</v>
      </c>
    </row>
    <row r="103" spans="1:16" x14ac:dyDescent="0.3">
      <c r="A103">
        <v>1095</v>
      </c>
      <c r="B103" s="2">
        <v>45255</v>
      </c>
      <c r="C103" s="1" t="s">
        <v>26</v>
      </c>
      <c r="D103" s="1" t="s">
        <v>13</v>
      </c>
      <c r="E103" s="1" t="s">
        <v>28</v>
      </c>
      <c r="F103" s="1" t="s">
        <v>15</v>
      </c>
      <c r="G103" s="1" t="s">
        <v>21</v>
      </c>
      <c r="H103" s="1" t="s">
        <v>17</v>
      </c>
      <c r="I103" s="4">
        <v>407.77</v>
      </c>
      <c r="J103" s="4">
        <v>860.95</v>
      </c>
      <c r="K103">
        <v>37</v>
      </c>
      <c r="L103" s="3">
        <v>0.1</v>
      </c>
      <c r="M103" s="4">
        <v>15087.49</v>
      </c>
      <c r="N103" s="4">
        <v>31851.45</v>
      </c>
      <c r="O103" s="4">
        <v>16763.96</v>
      </c>
      <c r="P103" s="3">
        <v>0.52631701225532901</v>
      </c>
    </row>
    <row r="104" spans="1:16" x14ac:dyDescent="0.3">
      <c r="A104">
        <v>1003</v>
      </c>
      <c r="B104" s="2">
        <v>45254</v>
      </c>
      <c r="C104" s="1" t="s">
        <v>12</v>
      </c>
      <c r="D104" s="1" t="s">
        <v>13</v>
      </c>
      <c r="E104" s="1" t="s">
        <v>22</v>
      </c>
      <c r="F104" s="1" t="s">
        <v>15</v>
      </c>
      <c r="G104" s="1" t="s">
        <v>21</v>
      </c>
      <c r="H104" s="1" t="s">
        <v>17</v>
      </c>
      <c r="I104" s="4">
        <v>3706.78</v>
      </c>
      <c r="J104" s="4">
        <v>3862.26</v>
      </c>
      <c r="K104">
        <v>11</v>
      </c>
      <c r="L104" s="3">
        <v>0.22</v>
      </c>
      <c r="M104" s="4">
        <v>40774.58</v>
      </c>
      <c r="N104" s="4">
        <v>42482.44</v>
      </c>
      <c r="O104" s="4">
        <v>1707.86</v>
      </c>
      <c r="P104" s="3">
        <v>4.0201551511636298E-2</v>
      </c>
    </row>
    <row r="105" spans="1:16" x14ac:dyDescent="0.3">
      <c r="A105">
        <v>1021</v>
      </c>
      <c r="B105" s="2">
        <v>45254</v>
      </c>
      <c r="C105" s="1" t="s">
        <v>12</v>
      </c>
      <c r="D105" s="1" t="s">
        <v>30</v>
      </c>
      <c r="E105" s="1" t="s">
        <v>22</v>
      </c>
      <c r="F105" s="1" t="s">
        <v>20</v>
      </c>
      <c r="G105" s="1" t="s">
        <v>21</v>
      </c>
      <c r="H105" s="1" t="s">
        <v>17</v>
      </c>
      <c r="I105" s="4">
        <v>3771.27</v>
      </c>
      <c r="J105" s="4">
        <v>4212.55</v>
      </c>
      <c r="K105">
        <v>15</v>
      </c>
      <c r="L105" s="3">
        <v>0.16</v>
      </c>
      <c r="M105" s="4">
        <v>56569.05</v>
      </c>
      <c r="N105" s="4">
        <v>63185.85</v>
      </c>
      <c r="O105" s="4">
        <v>6616.8</v>
      </c>
      <c r="P105" s="3">
        <v>0.104719648465598</v>
      </c>
    </row>
    <row r="106" spans="1:16" x14ac:dyDescent="0.3">
      <c r="A106">
        <v>1022</v>
      </c>
      <c r="B106" s="2">
        <v>45254</v>
      </c>
      <c r="C106" s="1" t="s">
        <v>12</v>
      </c>
      <c r="D106" s="1" t="s">
        <v>19</v>
      </c>
      <c r="E106" s="1" t="s">
        <v>24</v>
      </c>
      <c r="F106" s="1" t="s">
        <v>20</v>
      </c>
      <c r="G106" s="1" t="s">
        <v>21</v>
      </c>
      <c r="H106" s="1" t="s">
        <v>17</v>
      </c>
      <c r="I106" s="4">
        <v>479.58</v>
      </c>
      <c r="J106" s="4">
        <v>909.88</v>
      </c>
      <c r="K106">
        <v>29</v>
      </c>
      <c r="L106" s="3">
        <v>0.13</v>
      </c>
      <c r="M106" s="4">
        <v>13907.82</v>
      </c>
      <c r="N106" s="4">
        <v>26382.75</v>
      </c>
      <c r="O106" s="4">
        <v>12474.93</v>
      </c>
      <c r="P106" s="3">
        <v>0.47284418796372601</v>
      </c>
    </row>
    <row r="107" spans="1:16" x14ac:dyDescent="0.3">
      <c r="A107">
        <v>1024</v>
      </c>
      <c r="B107" s="2">
        <v>45254</v>
      </c>
      <c r="C107" s="1" t="s">
        <v>26</v>
      </c>
      <c r="D107" s="1" t="s">
        <v>27</v>
      </c>
      <c r="E107" s="1" t="s">
        <v>22</v>
      </c>
      <c r="F107" s="1" t="s">
        <v>20</v>
      </c>
      <c r="G107" s="1" t="s">
        <v>25</v>
      </c>
      <c r="H107" s="1" t="s">
        <v>17</v>
      </c>
      <c r="I107" s="4">
        <v>4691.32</v>
      </c>
      <c r="J107" s="4">
        <v>4752.88</v>
      </c>
      <c r="K107">
        <v>22</v>
      </c>
      <c r="L107" s="3">
        <v>7.0000000000000007E-2</v>
      </c>
      <c r="M107" s="4">
        <v>103209.04</v>
      </c>
      <c r="N107" s="4">
        <v>104561.82</v>
      </c>
      <c r="O107" s="4">
        <v>1352.78</v>
      </c>
      <c r="P107" s="3">
        <v>1.29376095404613E-2</v>
      </c>
    </row>
    <row r="108" spans="1:16" x14ac:dyDescent="0.3">
      <c r="A108">
        <v>1065</v>
      </c>
      <c r="B108" s="2">
        <v>45254</v>
      </c>
      <c r="C108" s="1" t="s">
        <v>23</v>
      </c>
      <c r="D108" s="1" t="s">
        <v>13</v>
      </c>
      <c r="E108" s="1" t="s">
        <v>22</v>
      </c>
      <c r="F108" s="1" t="s">
        <v>15</v>
      </c>
      <c r="G108" s="1" t="s">
        <v>25</v>
      </c>
      <c r="H108" s="1" t="s">
        <v>17</v>
      </c>
      <c r="I108" s="4">
        <v>1239.0899999999999</v>
      </c>
      <c r="J108" s="4">
        <v>1273.98</v>
      </c>
      <c r="K108">
        <v>18</v>
      </c>
      <c r="L108" s="3">
        <v>0.02</v>
      </c>
      <c r="M108" s="4">
        <v>22303.62</v>
      </c>
      <c r="N108" s="4">
        <v>22931.279999999999</v>
      </c>
      <c r="O108" s="4">
        <v>627.66</v>
      </c>
      <c r="P108" s="3">
        <v>2.7371346039122099E-2</v>
      </c>
    </row>
    <row r="109" spans="1:16" x14ac:dyDescent="0.3">
      <c r="A109">
        <v>1071</v>
      </c>
      <c r="B109" s="2">
        <v>45254</v>
      </c>
      <c r="C109" s="1" t="s">
        <v>26</v>
      </c>
      <c r="D109" s="1" t="s">
        <v>19</v>
      </c>
      <c r="E109" s="1" t="s">
        <v>22</v>
      </c>
      <c r="F109" s="1" t="s">
        <v>15</v>
      </c>
      <c r="G109" s="1" t="s">
        <v>21</v>
      </c>
      <c r="H109" s="1" t="s">
        <v>17</v>
      </c>
      <c r="I109" s="4">
        <v>4317.95</v>
      </c>
      <c r="J109" s="4">
        <v>4636.59</v>
      </c>
      <c r="K109">
        <v>12</v>
      </c>
      <c r="L109" s="3">
        <v>0.18</v>
      </c>
      <c r="M109" s="4">
        <v>51815.4</v>
      </c>
      <c r="N109" s="4">
        <v>55636.92</v>
      </c>
      <c r="O109" s="4">
        <v>3821.52</v>
      </c>
      <c r="P109" s="3">
        <v>6.8686764112751E-2</v>
      </c>
    </row>
    <row r="110" spans="1:16" x14ac:dyDescent="0.3">
      <c r="A110">
        <v>1072</v>
      </c>
      <c r="B110" s="2">
        <v>45254</v>
      </c>
      <c r="C110" s="1" t="s">
        <v>26</v>
      </c>
      <c r="D110" s="1" t="s">
        <v>13</v>
      </c>
      <c r="E110" s="1" t="s">
        <v>14</v>
      </c>
      <c r="F110" s="1" t="s">
        <v>15</v>
      </c>
      <c r="G110" s="1" t="s">
        <v>21</v>
      </c>
      <c r="H110" s="1" t="s">
        <v>17</v>
      </c>
      <c r="I110" s="4">
        <v>481.19</v>
      </c>
      <c r="J110" s="4">
        <v>693.4</v>
      </c>
      <c r="K110">
        <v>25</v>
      </c>
      <c r="L110" s="3">
        <v>0.27</v>
      </c>
      <c r="M110" s="4">
        <v>12029.75</v>
      </c>
      <c r="N110" s="4">
        <v>17328.25</v>
      </c>
      <c r="O110" s="4">
        <v>5298.5</v>
      </c>
      <c r="P110" s="3">
        <v>0.30577236593424001</v>
      </c>
    </row>
    <row r="111" spans="1:16" x14ac:dyDescent="0.3">
      <c r="A111">
        <v>1016</v>
      </c>
      <c r="B111" s="2">
        <v>45253</v>
      </c>
      <c r="C111" s="1" t="s">
        <v>12</v>
      </c>
      <c r="D111" s="1" t="s">
        <v>13</v>
      </c>
      <c r="E111" s="1" t="s">
        <v>14</v>
      </c>
      <c r="F111" s="1" t="s">
        <v>15</v>
      </c>
      <c r="G111" s="1" t="s">
        <v>25</v>
      </c>
      <c r="H111" s="1" t="s">
        <v>29</v>
      </c>
      <c r="I111" s="4">
        <v>4906.8500000000004</v>
      </c>
      <c r="J111" s="4">
        <v>4954.3900000000003</v>
      </c>
      <c r="K111">
        <v>26</v>
      </c>
      <c r="L111" s="3">
        <v>0.25</v>
      </c>
      <c r="M111" s="4">
        <v>127578.1</v>
      </c>
      <c r="N111" s="4">
        <v>128807.64</v>
      </c>
      <c r="O111" s="4">
        <v>1229.54</v>
      </c>
      <c r="P111" s="3">
        <v>9.5455518011198694E-3</v>
      </c>
    </row>
    <row r="112" spans="1:16" x14ac:dyDescent="0.3">
      <c r="A112">
        <v>1014</v>
      </c>
      <c r="B112" s="2">
        <v>45252</v>
      </c>
      <c r="C112" s="1" t="s">
        <v>18</v>
      </c>
      <c r="D112" s="1" t="s">
        <v>19</v>
      </c>
      <c r="E112" s="1" t="s">
        <v>22</v>
      </c>
      <c r="F112" s="1" t="s">
        <v>15</v>
      </c>
      <c r="G112" s="1" t="s">
        <v>25</v>
      </c>
      <c r="H112" s="1" t="s">
        <v>29</v>
      </c>
      <c r="I112" s="4">
        <v>3184.65</v>
      </c>
      <c r="J112" s="4">
        <v>3204.01</v>
      </c>
      <c r="K112">
        <v>17</v>
      </c>
      <c r="L112" s="3">
        <v>0.2</v>
      </c>
      <c r="M112" s="4">
        <v>54139.05</v>
      </c>
      <c r="N112" s="4">
        <v>54464.77</v>
      </c>
      <c r="O112" s="4">
        <v>325.72000000000003</v>
      </c>
      <c r="P112" s="3">
        <v>5.9803796105262199E-3</v>
      </c>
    </row>
    <row r="113" spans="1:16" x14ac:dyDescent="0.3">
      <c r="A113">
        <v>1058</v>
      </c>
      <c r="B113" s="2">
        <v>45252</v>
      </c>
      <c r="C113" s="1" t="s">
        <v>26</v>
      </c>
      <c r="D113" s="1" t="s">
        <v>19</v>
      </c>
      <c r="E113" s="1" t="s">
        <v>14</v>
      </c>
      <c r="F113" s="1" t="s">
        <v>20</v>
      </c>
      <c r="G113" s="1" t="s">
        <v>16</v>
      </c>
      <c r="H113" s="1" t="s">
        <v>17</v>
      </c>
      <c r="I113" s="4">
        <v>894.48</v>
      </c>
      <c r="J113" s="4">
        <v>1336.37</v>
      </c>
      <c r="K113">
        <v>15</v>
      </c>
      <c r="L113" s="3">
        <v>0.26</v>
      </c>
      <c r="M113" s="4">
        <v>13417.2</v>
      </c>
      <c r="N113" s="4">
        <v>20041.650000000001</v>
      </c>
      <c r="O113" s="4">
        <v>6624.45</v>
      </c>
      <c r="P113" s="3">
        <v>0.33053416260637197</v>
      </c>
    </row>
    <row r="114" spans="1:16" x14ac:dyDescent="0.3">
      <c r="A114">
        <v>1093</v>
      </c>
      <c r="B114" s="2">
        <v>45252</v>
      </c>
      <c r="C114" s="1" t="s">
        <v>31</v>
      </c>
      <c r="D114" s="1" t="s">
        <v>30</v>
      </c>
      <c r="E114" s="1" t="s">
        <v>24</v>
      </c>
      <c r="F114" s="1" t="s">
        <v>15</v>
      </c>
      <c r="G114" s="1" t="s">
        <v>25</v>
      </c>
      <c r="H114" s="1" t="s">
        <v>29</v>
      </c>
      <c r="I114" s="4">
        <v>3285.25</v>
      </c>
      <c r="J114" s="4">
        <v>3634.58</v>
      </c>
      <c r="K114">
        <v>22</v>
      </c>
      <c r="L114" s="3">
        <v>0.13</v>
      </c>
      <c r="M114" s="4">
        <v>72275.5</v>
      </c>
      <c r="N114" s="4">
        <v>79957.899999999994</v>
      </c>
      <c r="O114" s="4">
        <v>7682.4</v>
      </c>
      <c r="P114" s="3">
        <v>9.6080562395960897E-2</v>
      </c>
    </row>
    <row r="115" spans="1:16" x14ac:dyDescent="0.3">
      <c r="A115">
        <v>1012</v>
      </c>
      <c r="B115" s="2">
        <v>45250</v>
      </c>
      <c r="C115" s="1" t="s">
        <v>23</v>
      </c>
      <c r="D115" s="1" t="s">
        <v>30</v>
      </c>
      <c r="E115" s="1" t="s">
        <v>22</v>
      </c>
      <c r="F115" s="1" t="s">
        <v>20</v>
      </c>
      <c r="G115" s="1" t="s">
        <v>25</v>
      </c>
      <c r="H115" s="1" t="s">
        <v>29</v>
      </c>
      <c r="I115" s="4">
        <v>4190.83</v>
      </c>
      <c r="J115" s="4">
        <v>4528.7700000000004</v>
      </c>
      <c r="K115">
        <v>1</v>
      </c>
      <c r="L115" s="3">
        <v>0.22</v>
      </c>
      <c r="M115" s="4">
        <v>4190.83</v>
      </c>
      <c r="N115" s="4">
        <v>4528.55</v>
      </c>
      <c r="O115" s="4">
        <v>337.72</v>
      </c>
      <c r="P115" s="3">
        <v>7.45757472038511E-2</v>
      </c>
    </row>
    <row r="116" spans="1:16" x14ac:dyDescent="0.3">
      <c r="A116">
        <v>1028</v>
      </c>
      <c r="B116" s="2">
        <v>45250</v>
      </c>
      <c r="C116" s="1" t="s">
        <v>26</v>
      </c>
      <c r="D116" s="1" t="s">
        <v>13</v>
      </c>
      <c r="E116" s="1" t="s">
        <v>22</v>
      </c>
      <c r="F116" s="1" t="s">
        <v>20</v>
      </c>
      <c r="G116" s="1" t="s">
        <v>21</v>
      </c>
      <c r="H116" s="1" t="s">
        <v>29</v>
      </c>
      <c r="I116" s="4">
        <v>734.92</v>
      </c>
      <c r="J116" s="4">
        <v>991.21</v>
      </c>
      <c r="K116">
        <v>5</v>
      </c>
      <c r="L116" s="3">
        <v>0.21</v>
      </c>
      <c r="M116" s="4">
        <v>3674.6</v>
      </c>
      <c r="N116" s="4">
        <v>4955</v>
      </c>
      <c r="O116" s="4">
        <v>1280.4000000000001</v>
      </c>
      <c r="P116" s="3">
        <v>0.25840565085771999</v>
      </c>
    </row>
    <row r="117" spans="1:16" x14ac:dyDescent="0.3">
      <c r="A117">
        <v>1036</v>
      </c>
      <c r="B117" s="2">
        <v>45250</v>
      </c>
      <c r="C117" s="1" t="s">
        <v>26</v>
      </c>
      <c r="D117" s="1" t="s">
        <v>13</v>
      </c>
      <c r="E117" s="1" t="s">
        <v>14</v>
      </c>
      <c r="F117" s="1" t="s">
        <v>15</v>
      </c>
      <c r="G117" s="1" t="s">
        <v>21</v>
      </c>
      <c r="H117" s="1" t="s">
        <v>17</v>
      </c>
      <c r="I117" s="4">
        <v>700.49</v>
      </c>
      <c r="J117" s="4">
        <v>1126.52</v>
      </c>
      <c r="K117">
        <v>32</v>
      </c>
      <c r="L117" s="3">
        <v>0.28999999999999998</v>
      </c>
      <c r="M117" s="4">
        <v>22415.68</v>
      </c>
      <c r="N117" s="4">
        <v>36039.360000000001</v>
      </c>
      <c r="O117" s="4">
        <v>13623.68</v>
      </c>
      <c r="P117" s="3">
        <v>0.37802225122754701</v>
      </c>
    </row>
    <row r="118" spans="1:16" x14ac:dyDescent="0.3">
      <c r="A118">
        <v>1084</v>
      </c>
      <c r="B118" s="2">
        <v>45250</v>
      </c>
      <c r="C118" s="1" t="s">
        <v>23</v>
      </c>
      <c r="D118" s="1" t="s">
        <v>27</v>
      </c>
      <c r="E118" s="1" t="s">
        <v>24</v>
      </c>
      <c r="F118" s="1" t="s">
        <v>15</v>
      </c>
      <c r="G118" s="1" t="s">
        <v>16</v>
      </c>
      <c r="H118" s="1" t="s">
        <v>29</v>
      </c>
      <c r="I118" s="4">
        <v>3420.72</v>
      </c>
      <c r="J118" s="4">
        <v>3513.74</v>
      </c>
      <c r="K118">
        <v>15</v>
      </c>
      <c r="L118" s="3">
        <v>0.02</v>
      </c>
      <c r="M118" s="4">
        <v>51310.8</v>
      </c>
      <c r="N118" s="4">
        <v>52705.8</v>
      </c>
      <c r="O118" s="4">
        <v>1395</v>
      </c>
      <c r="P118" s="3">
        <v>2.64676752843141E-2</v>
      </c>
    </row>
    <row r="119" spans="1:16" x14ac:dyDescent="0.3">
      <c r="A119">
        <v>1090</v>
      </c>
      <c r="B119" s="2">
        <v>45250</v>
      </c>
      <c r="C119" s="1" t="s">
        <v>26</v>
      </c>
      <c r="D119" s="1" t="s">
        <v>19</v>
      </c>
      <c r="E119" s="1" t="s">
        <v>28</v>
      </c>
      <c r="F119" s="1" t="s">
        <v>20</v>
      </c>
      <c r="G119" s="1" t="s">
        <v>16</v>
      </c>
      <c r="H119" s="1" t="s">
        <v>17</v>
      </c>
      <c r="I119" s="4">
        <v>2678.99</v>
      </c>
      <c r="J119" s="4">
        <v>3152.28</v>
      </c>
      <c r="K119">
        <v>32</v>
      </c>
      <c r="L119" s="3">
        <v>0.22</v>
      </c>
      <c r="M119" s="4">
        <v>85727.679999999993</v>
      </c>
      <c r="N119" s="4">
        <v>100865.92</v>
      </c>
      <c r="O119" s="4">
        <v>15138.24</v>
      </c>
      <c r="P119" s="3">
        <v>0.15008280299232901</v>
      </c>
    </row>
    <row r="120" spans="1:16" x14ac:dyDescent="0.3">
      <c r="A120">
        <v>1033</v>
      </c>
      <c r="B120" s="2">
        <v>45249</v>
      </c>
      <c r="C120" s="1" t="s">
        <v>18</v>
      </c>
      <c r="D120" s="1" t="s">
        <v>30</v>
      </c>
      <c r="E120" s="1" t="s">
        <v>28</v>
      </c>
      <c r="F120" s="1" t="s">
        <v>15</v>
      </c>
      <c r="G120" s="1" t="s">
        <v>21</v>
      </c>
      <c r="H120" s="1" t="s">
        <v>17</v>
      </c>
      <c r="I120" s="4">
        <v>2600.7600000000002</v>
      </c>
      <c r="J120" s="4">
        <v>2937.57</v>
      </c>
      <c r="K120">
        <v>37</v>
      </c>
      <c r="L120" s="3">
        <v>0.17</v>
      </c>
      <c r="M120" s="4">
        <v>96228.12</v>
      </c>
      <c r="N120" s="4">
        <v>108683.8</v>
      </c>
      <c r="O120" s="4">
        <v>12455.68</v>
      </c>
      <c r="P120" s="3">
        <v>0.114604752502213</v>
      </c>
    </row>
    <row r="121" spans="1:16" x14ac:dyDescent="0.3">
      <c r="A121">
        <v>1040</v>
      </c>
      <c r="B121" s="2">
        <v>45249</v>
      </c>
      <c r="C121" s="1" t="s">
        <v>18</v>
      </c>
      <c r="D121" s="1" t="s">
        <v>30</v>
      </c>
      <c r="E121" s="1" t="s">
        <v>28</v>
      </c>
      <c r="F121" s="1" t="s">
        <v>15</v>
      </c>
      <c r="G121" s="1" t="s">
        <v>25</v>
      </c>
      <c r="H121" s="1" t="s">
        <v>29</v>
      </c>
      <c r="I121" s="4">
        <v>2189.54</v>
      </c>
      <c r="J121" s="4">
        <v>2617</v>
      </c>
      <c r="K121">
        <v>47</v>
      </c>
      <c r="L121" s="3">
        <v>0.01</v>
      </c>
      <c r="M121" s="4">
        <v>102908.38</v>
      </c>
      <c r="N121" s="4">
        <v>122998.53</v>
      </c>
      <c r="O121" s="4">
        <v>20090.150000000001</v>
      </c>
      <c r="P121" s="3">
        <v>0.163336504915953</v>
      </c>
    </row>
    <row r="122" spans="1:16" x14ac:dyDescent="0.3">
      <c r="A122">
        <v>1045</v>
      </c>
      <c r="B122" s="2">
        <v>45249</v>
      </c>
      <c r="C122" s="1" t="s">
        <v>23</v>
      </c>
      <c r="D122" s="1" t="s">
        <v>30</v>
      </c>
      <c r="E122" s="1" t="s">
        <v>28</v>
      </c>
      <c r="F122" s="1" t="s">
        <v>20</v>
      </c>
      <c r="G122" s="1" t="s">
        <v>21</v>
      </c>
      <c r="H122" s="1" t="s">
        <v>29</v>
      </c>
      <c r="I122" s="4">
        <v>912.08</v>
      </c>
      <c r="J122" s="4">
        <v>993.24</v>
      </c>
      <c r="K122">
        <v>2</v>
      </c>
      <c r="L122" s="3">
        <v>0.09</v>
      </c>
      <c r="M122" s="4">
        <v>1824.16</v>
      </c>
      <c r="N122" s="4">
        <v>1986.3</v>
      </c>
      <c r="O122" s="4">
        <v>162.13999999999999</v>
      </c>
      <c r="P122" s="3">
        <v>8.16291597442481E-2</v>
      </c>
    </row>
    <row r="123" spans="1:16" x14ac:dyDescent="0.3">
      <c r="A123">
        <v>1004</v>
      </c>
      <c r="B123" s="2">
        <v>45248</v>
      </c>
      <c r="C123" s="1" t="s">
        <v>26</v>
      </c>
      <c r="D123" s="1" t="s">
        <v>13</v>
      </c>
      <c r="E123" s="1" t="s">
        <v>22</v>
      </c>
      <c r="F123" s="1" t="s">
        <v>20</v>
      </c>
      <c r="G123" s="1" t="s">
        <v>25</v>
      </c>
      <c r="H123" s="1" t="s">
        <v>17</v>
      </c>
      <c r="I123" s="4">
        <v>182.99</v>
      </c>
      <c r="J123" s="4">
        <v>211.18</v>
      </c>
      <c r="K123">
        <v>1</v>
      </c>
      <c r="L123" s="3">
        <v>0.27</v>
      </c>
      <c r="M123" s="4">
        <v>182.99</v>
      </c>
      <c r="N123" s="4">
        <v>210.91</v>
      </c>
      <c r="O123" s="4">
        <v>27.92</v>
      </c>
      <c r="P123" s="3">
        <v>0.132378739746811</v>
      </c>
    </row>
    <row r="124" spans="1:16" x14ac:dyDescent="0.3">
      <c r="A124">
        <v>1062</v>
      </c>
      <c r="B124" s="2">
        <v>45248</v>
      </c>
      <c r="C124" s="1" t="s">
        <v>26</v>
      </c>
      <c r="D124" s="1" t="s">
        <v>13</v>
      </c>
      <c r="E124" s="1" t="s">
        <v>24</v>
      </c>
      <c r="F124" s="1" t="s">
        <v>20</v>
      </c>
      <c r="G124" s="1" t="s">
        <v>25</v>
      </c>
      <c r="H124" s="1" t="s">
        <v>17</v>
      </c>
      <c r="I124" s="4">
        <v>1088.99</v>
      </c>
      <c r="J124" s="4">
        <v>1545</v>
      </c>
      <c r="K124">
        <v>12</v>
      </c>
      <c r="L124" s="3">
        <v>0.04</v>
      </c>
      <c r="M124" s="4">
        <v>13067.88</v>
      </c>
      <c r="N124" s="4">
        <v>18539.52</v>
      </c>
      <c r="O124" s="4">
        <v>5471.64</v>
      </c>
      <c r="P124" s="3">
        <v>0.29513385459817698</v>
      </c>
    </row>
    <row r="125" spans="1:16" x14ac:dyDescent="0.3">
      <c r="A125">
        <v>1062</v>
      </c>
      <c r="B125" s="2">
        <v>45247</v>
      </c>
      <c r="C125" s="1" t="s">
        <v>31</v>
      </c>
      <c r="D125" s="1" t="s">
        <v>30</v>
      </c>
      <c r="E125" s="1" t="s">
        <v>14</v>
      </c>
      <c r="F125" s="1" t="s">
        <v>20</v>
      </c>
      <c r="G125" s="1" t="s">
        <v>16</v>
      </c>
      <c r="H125" s="1" t="s">
        <v>17</v>
      </c>
      <c r="I125" s="4">
        <v>2094.88</v>
      </c>
      <c r="J125" s="4">
        <v>2168.91</v>
      </c>
      <c r="K125">
        <v>28</v>
      </c>
      <c r="L125" s="3">
        <v>0.08</v>
      </c>
      <c r="M125" s="4">
        <v>58656.639999999999</v>
      </c>
      <c r="N125" s="4">
        <v>60727.24</v>
      </c>
      <c r="O125" s="4">
        <v>2070.6</v>
      </c>
      <c r="P125" s="3">
        <v>3.4096724962306903E-2</v>
      </c>
    </row>
    <row r="126" spans="1:16" x14ac:dyDescent="0.3">
      <c r="A126">
        <v>1100</v>
      </c>
      <c r="B126" s="2">
        <v>45247</v>
      </c>
      <c r="C126" s="1" t="s">
        <v>23</v>
      </c>
      <c r="D126" s="1" t="s">
        <v>13</v>
      </c>
      <c r="E126" s="1" t="s">
        <v>22</v>
      </c>
      <c r="F126" s="1" t="s">
        <v>15</v>
      </c>
      <c r="G126" s="1" t="s">
        <v>16</v>
      </c>
      <c r="H126" s="1" t="s">
        <v>17</v>
      </c>
      <c r="I126" s="4">
        <v>366.2</v>
      </c>
      <c r="J126" s="4">
        <v>732.69</v>
      </c>
      <c r="K126">
        <v>13</v>
      </c>
      <c r="L126" s="3">
        <v>0.04</v>
      </c>
      <c r="M126" s="4">
        <v>4760.6000000000004</v>
      </c>
      <c r="N126" s="4">
        <v>9524.4500000000007</v>
      </c>
      <c r="O126" s="4">
        <v>4763.8500000000004</v>
      </c>
      <c r="P126" s="3">
        <v>0.50017061352624004</v>
      </c>
    </row>
    <row r="127" spans="1:16" x14ac:dyDescent="0.3">
      <c r="A127">
        <v>1015</v>
      </c>
      <c r="B127" s="2">
        <v>45246</v>
      </c>
      <c r="C127" s="1" t="s">
        <v>12</v>
      </c>
      <c r="D127" s="1" t="s">
        <v>13</v>
      </c>
      <c r="E127" s="1" t="s">
        <v>24</v>
      </c>
      <c r="F127" s="1" t="s">
        <v>15</v>
      </c>
      <c r="G127" s="1" t="s">
        <v>25</v>
      </c>
      <c r="H127" s="1" t="s">
        <v>17</v>
      </c>
      <c r="I127" s="4">
        <v>2928.74</v>
      </c>
      <c r="J127" s="4">
        <v>3027.74</v>
      </c>
      <c r="K127">
        <v>1</v>
      </c>
      <c r="L127" s="3">
        <v>0.15</v>
      </c>
      <c r="M127" s="4">
        <v>2928.74</v>
      </c>
      <c r="N127" s="4">
        <v>3027.59</v>
      </c>
      <c r="O127" s="4">
        <v>98.85</v>
      </c>
      <c r="P127" s="3">
        <v>3.2649731304436901E-2</v>
      </c>
    </row>
    <row r="128" spans="1:16" x14ac:dyDescent="0.3">
      <c r="A128">
        <v>1041</v>
      </c>
      <c r="B128" s="2">
        <v>45246</v>
      </c>
      <c r="C128" s="1" t="s">
        <v>18</v>
      </c>
      <c r="D128" s="1" t="s">
        <v>27</v>
      </c>
      <c r="E128" s="1" t="s">
        <v>22</v>
      </c>
      <c r="F128" s="1" t="s">
        <v>15</v>
      </c>
      <c r="G128" s="1" t="s">
        <v>16</v>
      </c>
      <c r="H128" s="1" t="s">
        <v>29</v>
      </c>
      <c r="I128" s="4">
        <v>601.86</v>
      </c>
      <c r="J128" s="4">
        <v>1067.53</v>
      </c>
      <c r="K128">
        <v>40</v>
      </c>
      <c r="L128" s="3">
        <v>0.18</v>
      </c>
      <c r="M128" s="4">
        <v>24074.400000000001</v>
      </c>
      <c r="N128" s="4">
        <v>42694</v>
      </c>
      <c r="O128" s="4">
        <v>18619.599999999999</v>
      </c>
      <c r="P128" s="3">
        <v>0.43611748723473998</v>
      </c>
    </row>
    <row r="129" spans="1:16" x14ac:dyDescent="0.3">
      <c r="A129">
        <v>1051</v>
      </c>
      <c r="B129" s="2">
        <v>45246</v>
      </c>
      <c r="C129" s="1" t="s">
        <v>23</v>
      </c>
      <c r="D129" s="1" t="s">
        <v>19</v>
      </c>
      <c r="E129" s="1" t="s">
        <v>24</v>
      </c>
      <c r="F129" s="1" t="s">
        <v>15</v>
      </c>
      <c r="G129" s="1" t="s">
        <v>25</v>
      </c>
      <c r="H129" s="1" t="s">
        <v>29</v>
      </c>
      <c r="I129" s="4">
        <v>144.88</v>
      </c>
      <c r="J129" s="4">
        <v>175.29</v>
      </c>
      <c r="K129">
        <v>31</v>
      </c>
      <c r="L129" s="3">
        <v>7.0000000000000007E-2</v>
      </c>
      <c r="M129" s="4">
        <v>4491.28</v>
      </c>
      <c r="N129" s="4">
        <v>5431.82</v>
      </c>
      <c r="O129" s="4">
        <v>940.54</v>
      </c>
      <c r="P129" s="3">
        <v>0.173153749571967</v>
      </c>
    </row>
    <row r="130" spans="1:16" x14ac:dyDescent="0.3">
      <c r="A130">
        <v>1073</v>
      </c>
      <c r="B130" s="2">
        <v>45246</v>
      </c>
      <c r="C130" s="1" t="s">
        <v>18</v>
      </c>
      <c r="D130" s="1" t="s">
        <v>27</v>
      </c>
      <c r="E130" s="1" t="s">
        <v>14</v>
      </c>
      <c r="F130" s="1" t="s">
        <v>15</v>
      </c>
      <c r="G130" s="1" t="s">
        <v>21</v>
      </c>
      <c r="H130" s="1" t="s">
        <v>29</v>
      </c>
      <c r="I130" s="4">
        <v>2658.9</v>
      </c>
      <c r="J130" s="4">
        <v>2838.27</v>
      </c>
      <c r="K130">
        <v>48</v>
      </c>
      <c r="L130" s="3">
        <v>0.25</v>
      </c>
      <c r="M130" s="4">
        <v>127627.2</v>
      </c>
      <c r="N130" s="4">
        <v>136224.95999999999</v>
      </c>
      <c r="O130" s="4">
        <v>8597.76</v>
      </c>
      <c r="P130" s="3">
        <v>6.3114424845490902E-2</v>
      </c>
    </row>
    <row r="131" spans="1:16" x14ac:dyDescent="0.3">
      <c r="A131">
        <v>1078</v>
      </c>
      <c r="B131" s="2">
        <v>45246</v>
      </c>
      <c r="C131" s="1" t="s">
        <v>18</v>
      </c>
      <c r="D131" s="1" t="s">
        <v>13</v>
      </c>
      <c r="E131" s="1" t="s">
        <v>24</v>
      </c>
      <c r="F131" s="1" t="s">
        <v>20</v>
      </c>
      <c r="G131" s="1" t="s">
        <v>25</v>
      </c>
      <c r="H131" s="1" t="s">
        <v>29</v>
      </c>
      <c r="I131" s="4">
        <v>3459.61</v>
      </c>
      <c r="J131" s="4">
        <v>3657.23</v>
      </c>
      <c r="K131">
        <v>8</v>
      </c>
      <c r="L131" s="3">
        <v>0.03</v>
      </c>
      <c r="M131" s="4">
        <v>27676.880000000001</v>
      </c>
      <c r="N131" s="4">
        <v>29257.599999999999</v>
      </c>
      <c r="O131" s="4">
        <v>1580.72</v>
      </c>
      <c r="P131" s="3">
        <v>5.40276714426337E-2</v>
      </c>
    </row>
    <row r="132" spans="1:16" x14ac:dyDescent="0.3">
      <c r="A132">
        <v>1088</v>
      </c>
      <c r="B132" s="2">
        <v>45246</v>
      </c>
      <c r="C132" s="1" t="s">
        <v>12</v>
      </c>
      <c r="D132" s="1" t="s">
        <v>30</v>
      </c>
      <c r="E132" s="1" t="s">
        <v>24</v>
      </c>
      <c r="F132" s="1" t="s">
        <v>15</v>
      </c>
      <c r="G132" s="1" t="s">
        <v>25</v>
      </c>
      <c r="H132" s="1" t="s">
        <v>17</v>
      </c>
      <c r="I132" s="4">
        <v>2440.11</v>
      </c>
      <c r="J132" s="4">
        <v>2517.6</v>
      </c>
      <c r="K132">
        <v>13</v>
      </c>
      <c r="L132" s="3">
        <v>0.23</v>
      </c>
      <c r="M132" s="4">
        <v>31721.43</v>
      </c>
      <c r="N132" s="4">
        <v>32725.81</v>
      </c>
      <c r="O132" s="4">
        <v>1004.38</v>
      </c>
      <c r="P132" s="3">
        <v>3.0690760595383299E-2</v>
      </c>
    </row>
    <row r="133" spans="1:16" x14ac:dyDescent="0.3">
      <c r="A133">
        <v>1030</v>
      </c>
      <c r="B133" s="2">
        <v>45245</v>
      </c>
      <c r="C133" s="1" t="s">
        <v>12</v>
      </c>
      <c r="D133" s="1" t="s">
        <v>13</v>
      </c>
      <c r="E133" s="1" t="s">
        <v>14</v>
      </c>
      <c r="F133" s="1" t="s">
        <v>20</v>
      </c>
      <c r="G133" s="1" t="s">
        <v>21</v>
      </c>
      <c r="H133" s="1" t="s">
        <v>17</v>
      </c>
      <c r="I133" s="4">
        <v>1370.52</v>
      </c>
      <c r="J133" s="4">
        <v>1482.58</v>
      </c>
      <c r="K133">
        <v>24</v>
      </c>
      <c r="L133" s="3">
        <v>0.2</v>
      </c>
      <c r="M133" s="4">
        <v>32892.480000000003</v>
      </c>
      <c r="N133" s="4">
        <v>35577.120000000003</v>
      </c>
      <c r="O133" s="4">
        <v>2684.64</v>
      </c>
      <c r="P133" s="3">
        <v>7.5459733671528195E-2</v>
      </c>
    </row>
    <row r="134" spans="1:16" x14ac:dyDescent="0.3">
      <c r="A134">
        <v>1032</v>
      </c>
      <c r="B134" s="2">
        <v>45245</v>
      </c>
      <c r="C134" s="1" t="s">
        <v>26</v>
      </c>
      <c r="D134" s="1" t="s">
        <v>19</v>
      </c>
      <c r="E134" s="1" t="s">
        <v>22</v>
      </c>
      <c r="F134" s="1" t="s">
        <v>20</v>
      </c>
      <c r="G134" s="1" t="s">
        <v>25</v>
      </c>
      <c r="H134" s="1" t="s">
        <v>17</v>
      </c>
      <c r="I134" s="4">
        <v>651</v>
      </c>
      <c r="J134" s="4">
        <v>865.76</v>
      </c>
      <c r="K134">
        <v>1</v>
      </c>
      <c r="L134" s="3">
        <v>0.09</v>
      </c>
      <c r="M134" s="4">
        <v>651</v>
      </c>
      <c r="N134" s="4">
        <v>865.67</v>
      </c>
      <c r="O134" s="4">
        <v>214.67</v>
      </c>
      <c r="P134" s="3">
        <v>0.24798133237838901</v>
      </c>
    </row>
    <row r="135" spans="1:16" x14ac:dyDescent="0.3">
      <c r="A135">
        <v>1036</v>
      </c>
      <c r="B135" s="2">
        <v>45245</v>
      </c>
      <c r="C135" s="1" t="s">
        <v>23</v>
      </c>
      <c r="D135" s="1" t="s">
        <v>19</v>
      </c>
      <c r="E135" s="1" t="s">
        <v>24</v>
      </c>
      <c r="F135" s="1" t="s">
        <v>20</v>
      </c>
      <c r="G135" s="1" t="s">
        <v>21</v>
      </c>
      <c r="H135" s="1" t="s">
        <v>17</v>
      </c>
      <c r="I135" s="4">
        <v>2844.97</v>
      </c>
      <c r="J135" s="4">
        <v>3215</v>
      </c>
      <c r="K135">
        <v>19</v>
      </c>
      <c r="L135" s="3">
        <v>0.09</v>
      </c>
      <c r="M135" s="4">
        <v>54054.43</v>
      </c>
      <c r="N135" s="4">
        <v>61083.29</v>
      </c>
      <c r="O135" s="4">
        <v>7028.86</v>
      </c>
      <c r="P135" s="3">
        <v>0.115070095274829</v>
      </c>
    </row>
    <row r="136" spans="1:16" x14ac:dyDescent="0.3">
      <c r="A136">
        <v>1051</v>
      </c>
      <c r="B136" s="2">
        <v>45245</v>
      </c>
      <c r="C136" s="1" t="s">
        <v>26</v>
      </c>
      <c r="D136" s="1" t="s">
        <v>30</v>
      </c>
      <c r="E136" s="1" t="s">
        <v>28</v>
      </c>
      <c r="F136" s="1" t="s">
        <v>15</v>
      </c>
      <c r="G136" s="1" t="s">
        <v>25</v>
      </c>
      <c r="H136" s="1" t="s">
        <v>17</v>
      </c>
      <c r="I136" s="4">
        <v>1676.42</v>
      </c>
      <c r="J136" s="4">
        <v>2082.52</v>
      </c>
      <c r="K136">
        <v>23</v>
      </c>
      <c r="L136" s="3">
        <v>0.15</v>
      </c>
      <c r="M136" s="4">
        <v>38557.660000000003</v>
      </c>
      <c r="N136" s="4">
        <v>47894.51</v>
      </c>
      <c r="O136" s="4">
        <v>9336.85</v>
      </c>
      <c r="P136" s="3">
        <v>0.19494614309656799</v>
      </c>
    </row>
    <row r="137" spans="1:16" x14ac:dyDescent="0.3">
      <c r="A137">
        <v>1092</v>
      </c>
      <c r="B137" s="2">
        <v>45245</v>
      </c>
      <c r="C137" s="1" t="s">
        <v>18</v>
      </c>
      <c r="D137" s="1" t="s">
        <v>13</v>
      </c>
      <c r="E137" s="1" t="s">
        <v>28</v>
      </c>
      <c r="F137" s="1" t="s">
        <v>15</v>
      </c>
      <c r="G137" s="1" t="s">
        <v>21</v>
      </c>
      <c r="H137" s="1" t="s">
        <v>29</v>
      </c>
      <c r="I137" s="4">
        <v>3034.32</v>
      </c>
      <c r="J137" s="4">
        <v>3375.79</v>
      </c>
      <c r="K137">
        <v>47</v>
      </c>
      <c r="L137" s="3">
        <v>0.28000000000000003</v>
      </c>
      <c r="M137" s="4">
        <v>142613.04</v>
      </c>
      <c r="N137" s="4">
        <v>158648.97</v>
      </c>
      <c r="O137" s="4">
        <v>16035.93</v>
      </c>
      <c r="P137" s="3">
        <v>0.101078059315481</v>
      </c>
    </row>
    <row r="138" spans="1:16" x14ac:dyDescent="0.3">
      <c r="A138">
        <v>1100</v>
      </c>
      <c r="B138" s="2">
        <v>45245</v>
      </c>
      <c r="C138" s="1" t="s">
        <v>12</v>
      </c>
      <c r="D138" s="1" t="s">
        <v>13</v>
      </c>
      <c r="E138" s="1" t="s">
        <v>24</v>
      </c>
      <c r="F138" s="1" t="s">
        <v>15</v>
      </c>
      <c r="G138" s="1" t="s">
        <v>25</v>
      </c>
      <c r="H138" s="1" t="s">
        <v>29</v>
      </c>
      <c r="I138" s="4">
        <v>1036.76</v>
      </c>
      <c r="J138" s="4">
        <v>1189.3499999999999</v>
      </c>
      <c r="K138">
        <v>2</v>
      </c>
      <c r="L138" s="3">
        <v>0.27</v>
      </c>
      <c r="M138" s="4">
        <v>2073.52</v>
      </c>
      <c r="N138" s="4">
        <v>2378.16</v>
      </c>
      <c r="O138" s="4">
        <v>304.64</v>
      </c>
      <c r="P138" s="3">
        <v>0.12809903454771801</v>
      </c>
    </row>
    <row r="139" spans="1:16" x14ac:dyDescent="0.3">
      <c r="A139">
        <v>1001</v>
      </c>
      <c r="B139" s="2">
        <v>45244</v>
      </c>
      <c r="C139" s="1" t="s">
        <v>18</v>
      </c>
      <c r="D139" s="1" t="s">
        <v>30</v>
      </c>
      <c r="E139" s="1" t="s">
        <v>24</v>
      </c>
      <c r="F139" s="1" t="s">
        <v>15</v>
      </c>
      <c r="G139" s="1" t="s">
        <v>25</v>
      </c>
      <c r="H139" s="1" t="s">
        <v>17</v>
      </c>
      <c r="I139" s="4">
        <v>666.84</v>
      </c>
      <c r="J139" s="4">
        <v>682.24</v>
      </c>
      <c r="K139">
        <v>36</v>
      </c>
      <c r="L139" s="3">
        <v>0.16</v>
      </c>
      <c r="M139" s="4">
        <v>24006.240000000002</v>
      </c>
      <c r="N139" s="4">
        <v>24554.880000000001</v>
      </c>
      <c r="O139" s="4">
        <v>548.64</v>
      </c>
      <c r="P139" s="3">
        <v>2.2343420126671398E-2</v>
      </c>
    </row>
    <row r="140" spans="1:16" x14ac:dyDescent="0.3">
      <c r="A140">
        <v>1012</v>
      </c>
      <c r="B140" s="2">
        <v>45244</v>
      </c>
      <c r="C140" s="1" t="s">
        <v>18</v>
      </c>
      <c r="D140" s="1" t="s">
        <v>30</v>
      </c>
      <c r="E140" s="1" t="s">
        <v>28</v>
      </c>
      <c r="F140" s="1" t="s">
        <v>20</v>
      </c>
      <c r="G140" s="1" t="s">
        <v>25</v>
      </c>
      <c r="H140" s="1" t="s">
        <v>17</v>
      </c>
      <c r="I140" s="4">
        <v>1185.5</v>
      </c>
      <c r="J140" s="4">
        <v>1271.45</v>
      </c>
      <c r="K140">
        <v>14</v>
      </c>
      <c r="L140" s="3">
        <v>0.03</v>
      </c>
      <c r="M140" s="4">
        <v>16597</v>
      </c>
      <c r="N140" s="4">
        <v>17799.88</v>
      </c>
      <c r="O140" s="4">
        <v>1202.8800000000001</v>
      </c>
      <c r="P140" s="3">
        <v>6.7577983671799999E-2</v>
      </c>
    </row>
    <row r="141" spans="1:16" x14ac:dyDescent="0.3">
      <c r="A141">
        <v>1012</v>
      </c>
      <c r="B141" s="2">
        <v>45244</v>
      </c>
      <c r="C141" s="1" t="s">
        <v>12</v>
      </c>
      <c r="D141" s="1" t="s">
        <v>30</v>
      </c>
      <c r="E141" s="1" t="s">
        <v>14</v>
      </c>
      <c r="F141" s="1" t="s">
        <v>20</v>
      </c>
      <c r="G141" s="1" t="s">
        <v>25</v>
      </c>
      <c r="H141" s="1" t="s">
        <v>17</v>
      </c>
      <c r="I141" s="4">
        <v>3609.42</v>
      </c>
      <c r="J141" s="4">
        <v>4082.62</v>
      </c>
      <c r="K141">
        <v>6</v>
      </c>
      <c r="L141" s="3">
        <v>0.3</v>
      </c>
      <c r="M141" s="4">
        <v>21656.52</v>
      </c>
      <c r="N141" s="4">
        <v>24493.919999999998</v>
      </c>
      <c r="O141" s="4">
        <v>2837.4</v>
      </c>
      <c r="P141" s="3">
        <v>0.115840992376884</v>
      </c>
    </row>
    <row r="142" spans="1:16" x14ac:dyDescent="0.3">
      <c r="A142">
        <v>1033</v>
      </c>
      <c r="B142" s="2">
        <v>45244</v>
      </c>
      <c r="C142" s="1" t="s">
        <v>18</v>
      </c>
      <c r="D142" s="1" t="s">
        <v>27</v>
      </c>
      <c r="E142" s="1" t="s">
        <v>24</v>
      </c>
      <c r="F142" s="1" t="s">
        <v>20</v>
      </c>
      <c r="G142" s="1" t="s">
        <v>25</v>
      </c>
      <c r="H142" s="1" t="s">
        <v>17</v>
      </c>
      <c r="I142" s="4">
        <v>2981.5</v>
      </c>
      <c r="J142" s="4">
        <v>3360.4</v>
      </c>
      <c r="K142">
        <v>23</v>
      </c>
      <c r="L142" s="3">
        <v>0.22</v>
      </c>
      <c r="M142" s="4">
        <v>68574.5</v>
      </c>
      <c r="N142" s="4">
        <v>77284.14</v>
      </c>
      <c r="O142" s="4">
        <v>8709.64</v>
      </c>
      <c r="P142" s="3">
        <v>0.11269634364825699</v>
      </c>
    </row>
    <row r="143" spans="1:16" x14ac:dyDescent="0.3">
      <c r="A143">
        <v>1068</v>
      </c>
      <c r="B143" s="2">
        <v>45244</v>
      </c>
      <c r="C143" s="1" t="s">
        <v>31</v>
      </c>
      <c r="D143" s="1" t="s">
        <v>19</v>
      </c>
      <c r="E143" s="1" t="s">
        <v>14</v>
      </c>
      <c r="F143" s="1" t="s">
        <v>20</v>
      </c>
      <c r="G143" s="1" t="s">
        <v>21</v>
      </c>
      <c r="H143" s="1" t="s">
        <v>17</v>
      </c>
      <c r="I143" s="4">
        <v>1218.18</v>
      </c>
      <c r="J143" s="4">
        <v>1566.36</v>
      </c>
      <c r="K143">
        <v>42</v>
      </c>
      <c r="L143" s="3">
        <v>0.03</v>
      </c>
      <c r="M143" s="4">
        <v>51163.56</v>
      </c>
      <c r="N143" s="4">
        <v>65785.86</v>
      </c>
      <c r="O143" s="4">
        <v>14622.3</v>
      </c>
      <c r="P143" s="3">
        <v>0.22227116891076601</v>
      </c>
    </row>
    <row r="144" spans="1:16" x14ac:dyDescent="0.3">
      <c r="A144">
        <v>1085</v>
      </c>
      <c r="B144" s="2">
        <v>45244</v>
      </c>
      <c r="C144" s="1" t="s">
        <v>31</v>
      </c>
      <c r="D144" s="1" t="s">
        <v>27</v>
      </c>
      <c r="E144" s="1" t="s">
        <v>24</v>
      </c>
      <c r="F144" s="1" t="s">
        <v>20</v>
      </c>
      <c r="G144" s="1" t="s">
        <v>21</v>
      </c>
      <c r="H144" s="1" t="s">
        <v>17</v>
      </c>
      <c r="I144" s="4">
        <v>1074.93</v>
      </c>
      <c r="J144" s="4">
        <v>1492.48</v>
      </c>
      <c r="K144">
        <v>32</v>
      </c>
      <c r="L144" s="3">
        <v>0.04</v>
      </c>
      <c r="M144" s="4">
        <v>34397.760000000002</v>
      </c>
      <c r="N144" s="4">
        <v>47758.080000000002</v>
      </c>
      <c r="O144" s="4">
        <v>13360.32</v>
      </c>
      <c r="P144" s="3">
        <v>0.27974993969606798</v>
      </c>
    </row>
    <row r="145" spans="1:16" x14ac:dyDescent="0.3">
      <c r="A145">
        <v>1090</v>
      </c>
      <c r="B145" s="2">
        <v>45244</v>
      </c>
      <c r="C145" s="1" t="s">
        <v>23</v>
      </c>
      <c r="D145" s="1" t="s">
        <v>13</v>
      </c>
      <c r="E145" s="1" t="s">
        <v>14</v>
      </c>
      <c r="F145" s="1" t="s">
        <v>20</v>
      </c>
      <c r="G145" s="1" t="s">
        <v>16</v>
      </c>
      <c r="H145" s="1" t="s">
        <v>29</v>
      </c>
      <c r="I145" s="4">
        <v>60.28</v>
      </c>
      <c r="J145" s="4">
        <v>260.73</v>
      </c>
      <c r="K145">
        <v>1</v>
      </c>
      <c r="L145" s="3">
        <v>0.17</v>
      </c>
      <c r="M145" s="4">
        <v>60.28</v>
      </c>
      <c r="N145" s="4">
        <v>260.56</v>
      </c>
      <c r="O145" s="4">
        <v>200.28</v>
      </c>
      <c r="P145" s="3">
        <v>0.76865213386552</v>
      </c>
    </row>
    <row r="146" spans="1:16" x14ac:dyDescent="0.3">
      <c r="A146">
        <v>1092</v>
      </c>
      <c r="B146" s="2">
        <v>45244</v>
      </c>
      <c r="C146" s="1" t="s">
        <v>12</v>
      </c>
      <c r="D146" s="1" t="s">
        <v>13</v>
      </c>
      <c r="E146" s="1" t="s">
        <v>14</v>
      </c>
      <c r="F146" s="1" t="s">
        <v>20</v>
      </c>
      <c r="G146" s="1" t="s">
        <v>21</v>
      </c>
      <c r="H146" s="1" t="s">
        <v>17</v>
      </c>
      <c r="I146" s="4">
        <v>3936.69</v>
      </c>
      <c r="J146" s="4">
        <v>4362.51</v>
      </c>
      <c r="K146">
        <v>28</v>
      </c>
      <c r="L146" s="3">
        <v>7.0000000000000007E-2</v>
      </c>
      <c r="M146" s="4">
        <v>110227.32</v>
      </c>
      <c r="N146" s="4">
        <v>122148.32</v>
      </c>
      <c r="O146" s="4">
        <v>11921</v>
      </c>
      <c r="P146" s="3">
        <v>9.7594465482619797E-2</v>
      </c>
    </row>
    <row r="147" spans="1:16" x14ac:dyDescent="0.3">
      <c r="A147">
        <v>1050</v>
      </c>
      <c r="B147" s="2">
        <v>45243</v>
      </c>
      <c r="C147" s="1" t="s">
        <v>26</v>
      </c>
      <c r="D147" s="1" t="s">
        <v>30</v>
      </c>
      <c r="E147" s="1" t="s">
        <v>22</v>
      </c>
      <c r="F147" s="1" t="s">
        <v>15</v>
      </c>
      <c r="G147" s="1" t="s">
        <v>16</v>
      </c>
      <c r="H147" s="1" t="s">
        <v>29</v>
      </c>
      <c r="I147" s="4">
        <v>1711.63</v>
      </c>
      <c r="J147" s="4">
        <v>1951.24</v>
      </c>
      <c r="K147">
        <v>28</v>
      </c>
      <c r="L147" s="3">
        <v>0.22</v>
      </c>
      <c r="M147" s="4">
        <v>47925.64</v>
      </c>
      <c r="N147" s="4">
        <v>54628.56</v>
      </c>
      <c r="O147" s="4">
        <v>6702.92</v>
      </c>
      <c r="P147" s="3">
        <v>0.12269992106692899</v>
      </c>
    </row>
    <row r="148" spans="1:16" x14ac:dyDescent="0.3">
      <c r="A148">
        <v>1001</v>
      </c>
      <c r="B148" s="2">
        <v>45242</v>
      </c>
      <c r="C148" s="1" t="s">
        <v>26</v>
      </c>
      <c r="D148" s="1" t="s">
        <v>30</v>
      </c>
      <c r="E148" s="1" t="s">
        <v>28</v>
      </c>
      <c r="F148" s="1" t="s">
        <v>15</v>
      </c>
      <c r="G148" s="1" t="s">
        <v>25</v>
      </c>
      <c r="H148" s="1" t="s">
        <v>17</v>
      </c>
      <c r="I148" s="4">
        <v>3657.91</v>
      </c>
      <c r="J148" s="4">
        <v>3729.27</v>
      </c>
      <c r="K148">
        <v>8</v>
      </c>
      <c r="L148" s="3">
        <v>0.09</v>
      </c>
      <c r="M148" s="4">
        <v>29263.279999999999</v>
      </c>
      <c r="N148" s="4">
        <v>29833.439999999999</v>
      </c>
      <c r="O148" s="4">
        <v>570.16</v>
      </c>
      <c r="P148" s="3">
        <v>1.91114400484825E-2</v>
      </c>
    </row>
    <row r="149" spans="1:16" x14ac:dyDescent="0.3">
      <c r="A149">
        <v>1005</v>
      </c>
      <c r="B149" s="2">
        <v>45242</v>
      </c>
      <c r="C149" s="1" t="s">
        <v>12</v>
      </c>
      <c r="D149" s="1" t="s">
        <v>13</v>
      </c>
      <c r="E149" s="1" t="s">
        <v>14</v>
      </c>
      <c r="F149" s="1" t="s">
        <v>15</v>
      </c>
      <c r="G149" s="1" t="s">
        <v>21</v>
      </c>
      <c r="H149" s="1" t="s">
        <v>17</v>
      </c>
      <c r="I149" s="4">
        <v>3592.32</v>
      </c>
      <c r="J149" s="4">
        <v>3813.48</v>
      </c>
      <c r="K149">
        <v>28</v>
      </c>
      <c r="L149" s="3">
        <v>7.0000000000000007E-2</v>
      </c>
      <c r="M149" s="4">
        <v>100584.96000000001</v>
      </c>
      <c r="N149" s="4">
        <v>106775.48</v>
      </c>
      <c r="O149" s="4">
        <v>6190.52</v>
      </c>
      <c r="P149" s="3">
        <v>5.7976981232020698E-2</v>
      </c>
    </row>
    <row r="150" spans="1:16" x14ac:dyDescent="0.3">
      <c r="A150">
        <v>1062</v>
      </c>
      <c r="B150" s="2">
        <v>45242</v>
      </c>
      <c r="C150" s="1" t="s">
        <v>12</v>
      </c>
      <c r="D150" s="1" t="s">
        <v>27</v>
      </c>
      <c r="E150" s="1" t="s">
        <v>28</v>
      </c>
      <c r="F150" s="1" t="s">
        <v>15</v>
      </c>
      <c r="G150" s="1" t="s">
        <v>25</v>
      </c>
      <c r="H150" s="1" t="s">
        <v>17</v>
      </c>
      <c r="I150" s="4">
        <v>1468.05</v>
      </c>
      <c r="J150" s="4">
        <v>1838.21</v>
      </c>
      <c r="K150">
        <v>9</v>
      </c>
      <c r="L150" s="3">
        <v>0.15</v>
      </c>
      <c r="M150" s="4">
        <v>13212.45</v>
      </c>
      <c r="N150" s="4">
        <v>16542.54</v>
      </c>
      <c r="O150" s="4">
        <v>3330.09</v>
      </c>
      <c r="P150" s="3">
        <v>0.201304636410128</v>
      </c>
    </row>
    <row r="151" spans="1:16" x14ac:dyDescent="0.3">
      <c r="A151">
        <v>1070</v>
      </c>
      <c r="B151" s="2">
        <v>45242</v>
      </c>
      <c r="C151" s="1" t="s">
        <v>23</v>
      </c>
      <c r="D151" s="1" t="s">
        <v>27</v>
      </c>
      <c r="E151" s="1" t="s">
        <v>28</v>
      </c>
      <c r="F151" s="1" t="s">
        <v>20</v>
      </c>
      <c r="G151" s="1" t="s">
        <v>16</v>
      </c>
      <c r="H151" s="1" t="s">
        <v>17</v>
      </c>
      <c r="I151" s="4">
        <v>310.24</v>
      </c>
      <c r="J151" s="4">
        <v>451.81</v>
      </c>
      <c r="K151">
        <v>9</v>
      </c>
      <c r="L151" s="3">
        <v>0.1</v>
      </c>
      <c r="M151" s="4">
        <v>2792.16</v>
      </c>
      <c r="N151" s="4">
        <v>4065.39</v>
      </c>
      <c r="O151" s="4">
        <v>1273.23</v>
      </c>
      <c r="P151" s="3">
        <v>0.31318766465210002</v>
      </c>
    </row>
    <row r="152" spans="1:16" x14ac:dyDescent="0.3">
      <c r="A152">
        <v>1024</v>
      </c>
      <c r="B152" s="2">
        <v>45241</v>
      </c>
      <c r="C152" s="1" t="s">
        <v>12</v>
      </c>
      <c r="D152" s="1" t="s">
        <v>19</v>
      </c>
      <c r="E152" s="1" t="s">
        <v>22</v>
      </c>
      <c r="F152" s="1" t="s">
        <v>20</v>
      </c>
      <c r="G152" s="1" t="s">
        <v>25</v>
      </c>
      <c r="H152" s="1" t="s">
        <v>17</v>
      </c>
      <c r="I152" s="4">
        <v>622.01</v>
      </c>
      <c r="J152" s="4">
        <v>641.09</v>
      </c>
      <c r="K152">
        <v>21</v>
      </c>
      <c r="L152" s="3">
        <v>0</v>
      </c>
      <c r="M152" s="4">
        <v>13062.21</v>
      </c>
      <c r="N152" s="4">
        <v>13462.89</v>
      </c>
      <c r="O152" s="4">
        <v>400.68</v>
      </c>
      <c r="P152" s="3">
        <v>2.9761811914083801E-2</v>
      </c>
    </row>
    <row r="153" spans="1:16" x14ac:dyDescent="0.3">
      <c r="A153">
        <v>1080</v>
      </c>
      <c r="B153" s="2">
        <v>45241</v>
      </c>
      <c r="C153" s="1" t="s">
        <v>26</v>
      </c>
      <c r="D153" s="1" t="s">
        <v>13</v>
      </c>
      <c r="E153" s="1" t="s">
        <v>28</v>
      </c>
      <c r="F153" s="1" t="s">
        <v>15</v>
      </c>
      <c r="G153" s="1" t="s">
        <v>16</v>
      </c>
      <c r="H153" s="1" t="s">
        <v>17</v>
      </c>
      <c r="I153" s="4">
        <v>3414.54</v>
      </c>
      <c r="J153" s="4">
        <v>3753.83</v>
      </c>
      <c r="K153">
        <v>32</v>
      </c>
      <c r="L153" s="3">
        <v>0.22</v>
      </c>
      <c r="M153" s="4">
        <v>109265.28</v>
      </c>
      <c r="N153" s="4">
        <v>120115.52</v>
      </c>
      <c r="O153" s="4">
        <v>10850.24</v>
      </c>
      <c r="P153" s="3">
        <v>9.0331707343064394E-2</v>
      </c>
    </row>
    <row r="154" spans="1:16" x14ac:dyDescent="0.3">
      <c r="A154">
        <v>1019</v>
      </c>
      <c r="B154" s="2">
        <v>45240</v>
      </c>
      <c r="C154" s="1" t="s">
        <v>23</v>
      </c>
      <c r="D154" s="1" t="s">
        <v>13</v>
      </c>
      <c r="E154" s="1" t="s">
        <v>24</v>
      </c>
      <c r="F154" s="1" t="s">
        <v>20</v>
      </c>
      <c r="G154" s="1" t="s">
        <v>21</v>
      </c>
      <c r="H154" s="1" t="s">
        <v>17</v>
      </c>
      <c r="I154" s="4">
        <v>1362.31</v>
      </c>
      <c r="J154" s="4">
        <v>1486.29</v>
      </c>
      <c r="K154">
        <v>33</v>
      </c>
      <c r="L154" s="3">
        <v>0.18</v>
      </c>
      <c r="M154" s="4">
        <v>44956.23</v>
      </c>
      <c r="N154" s="4">
        <v>49041.63</v>
      </c>
      <c r="O154" s="4">
        <v>4085.4</v>
      </c>
      <c r="P154" s="3">
        <v>8.3304735181110395E-2</v>
      </c>
    </row>
    <row r="155" spans="1:16" x14ac:dyDescent="0.3">
      <c r="A155">
        <v>1090</v>
      </c>
      <c r="B155" s="2">
        <v>45240</v>
      </c>
      <c r="C155" s="1" t="s">
        <v>26</v>
      </c>
      <c r="D155" s="1" t="s">
        <v>30</v>
      </c>
      <c r="E155" s="1" t="s">
        <v>14</v>
      </c>
      <c r="F155" s="1" t="s">
        <v>20</v>
      </c>
      <c r="G155" s="1" t="s">
        <v>25</v>
      </c>
      <c r="H155" s="1" t="s">
        <v>17</v>
      </c>
      <c r="I155" s="4">
        <v>2183.37</v>
      </c>
      <c r="J155" s="4">
        <v>2263.36</v>
      </c>
      <c r="K155">
        <v>16</v>
      </c>
      <c r="L155" s="3">
        <v>0</v>
      </c>
      <c r="M155" s="4">
        <v>34933.919999999998</v>
      </c>
      <c r="N155" s="4">
        <v>36213.760000000002</v>
      </c>
      <c r="O155" s="4">
        <v>1279.8399999999999</v>
      </c>
      <c r="P155" s="3">
        <v>3.5341262547716697E-2</v>
      </c>
    </row>
    <row r="156" spans="1:16" x14ac:dyDescent="0.3">
      <c r="A156">
        <v>1014</v>
      </c>
      <c r="B156" s="2">
        <v>45239</v>
      </c>
      <c r="C156" s="1" t="s">
        <v>18</v>
      </c>
      <c r="D156" s="1" t="s">
        <v>30</v>
      </c>
      <c r="E156" s="1" t="s">
        <v>28</v>
      </c>
      <c r="F156" s="1" t="s">
        <v>15</v>
      </c>
      <c r="G156" s="1" t="s">
        <v>21</v>
      </c>
      <c r="H156" s="1" t="s">
        <v>29</v>
      </c>
      <c r="I156" s="4">
        <v>132.47</v>
      </c>
      <c r="J156" s="4">
        <v>316.39</v>
      </c>
      <c r="K156">
        <v>9</v>
      </c>
      <c r="L156" s="3">
        <v>0.14000000000000001</v>
      </c>
      <c r="M156" s="4">
        <v>1192.23</v>
      </c>
      <c r="N156" s="4">
        <v>2846.25</v>
      </c>
      <c r="O156" s="4">
        <v>1654.02</v>
      </c>
      <c r="P156" s="3">
        <v>0.58112252964426903</v>
      </c>
    </row>
    <row r="157" spans="1:16" x14ac:dyDescent="0.3">
      <c r="A157">
        <v>1016</v>
      </c>
      <c r="B157" s="2">
        <v>45239</v>
      </c>
      <c r="C157" s="1" t="s">
        <v>31</v>
      </c>
      <c r="D157" s="1" t="s">
        <v>27</v>
      </c>
      <c r="E157" s="1" t="s">
        <v>24</v>
      </c>
      <c r="F157" s="1" t="s">
        <v>15</v>
      </c>
      <c r="G157" s="1" t="s">
        <v>16</v>
      </c>
      <c r="H157" s="1" t="s">
        <v>29</v>
      </c>
      <c r="I157" s="4">
        <v>88.44</v>
      </c>
      <c r="J157" s="4">
        <v>338.94</v>
      </c>
      <c r="K157">
        <v>24</v>
      </c>
      <c r="L157" s="3">
        <v>0.28999999999999998</v>
      </c>
      <c r="M157" s="4">
        <v>2122.56</v>
      </c>
      <c r="N157" s="4">
        <v>8127.6</v>
      </c>
      <c r="O157" s="4">
        <v>6005.04</v>
      </c>
      <c r="P157" s="3">
        <v>0.73884541562084805</v>
      </c>
    </row>
    <row r="158" spans="1:16" x14ac:dyDescent="0.3">
      <c r="A158">
        <v>1032</v>
      </c>
      <c r="B158" s="2">
        <v>45239</v>
      </c>
      <c r="C158" s="1" t="s">
        <v>23</v>
      </c>
      <c r="D158" s="1" t="s">
        <v>13</v>
      </c>
      <c r="E158" s="1" t="s">
        <v>28</v>
      </c>
      <c r="F158" s="1" t="s">
        <v>20</v>
      </c>
      <c r="G158" s="1" t="s">
        <v>21</v>
      </c>
      <c r="H158" s="1" t="s">
        <v>17</v>
      </c>
      <c r="I158" s="4">
        <v>2934.3</v>
      </c>
      <c r="J158" s="4">
        <v>3337.4</v>
      </c>
      <c r="K158">
        <v>25</v>
      </c>
      <c r="L158" s="3">
        <v>0.25</v>
      </c>
      <c r="M158" s="4">
        <v>73357.5</v>
      </c>
      <c r="N158" s="4">
        <v>83428.75</v>
      </c>
      <c r="O158" s="4">
        <v>10071.25</v>
      </c>
      <c r="P158" s="3">
        <v>0.120716779287716</v>
      </c>
    </row>
    <row r="159" spans="1:16" x14ac:dyDescent="0.3">
      <c r="A159">
        <v>1033</v>
      </c>
      <c r="B159" s="2">
        <v>45239</v>
      </c>
      <c r="C159" s="1" t="s">
        <v>18</v>
      </c>
      <c r="D159" s="1" t="s">
        <v>13</v>
      </c>
      <c r="E159" s="1" t="s">
        <v>14</v>
      </c>
      <c r="F159" s="1" t="s">
        <v>20</v>
      </c>
      <c r="G159" s="1" t="s">
        <v>21</v>
      </c>
      <c r="H159" s="1" t="s">
        <v>29</v>
      </c>
      <c r="I159" s="4">
        <v>1621.07</v>
      </c>
      <c r="J159" s="4">
        <v>1687.5</v>
      </c>
      <c r="K159">
        <v>6</v>
      </c>
      <c r="L159" s="3">
        <v>0.12</v>
      </c>
      <c r="M159" s="4">
        <v>9726.42</v>
      </c>
      <c r="N159" s="4">
        <v>10124.280000000001</v>
      </c>
      <c r="O159" s="4">
        <v>397.86</v>
      </c>
      <c r="P159" s="3">
        <v>3.9297609311477001E-2</v>
      </c>
    </row>
    <row r="160" spans="1:16" x14ac:dyDescent="0.3">
      <c r="A160">
        <v>1038</v>
      </c>
      <c r="B160" s="2">
        <v>45239</v>
      </c>
      <c r="C160" s="1" t="s">
        <v>18</v>
      </c>
      <c r="D160" s="1" t="s">
        <v>13</v>
      </c>
      <c r="E160" s="1" t="s">
        <v>22</v>
      </c>
      <c r="F160" s="1" t="s">
        <v>20</v>
      </c>
      <c r="G160" s="1" t="s">
        <v>21</v>
      </c>
      <c r="H160" s="1" t="s">
        <v>29</v>
      </c>
      <c r="I160" s="4">
        <v>1281.6500000000001</v>
      </c>
      <c r="J160" s="4">
        <v>1709.71</v>
      </c>
      <c r="K160">
        <v>1</v>
      </c>
      <c r="L160" s="3">
        <v>0.14000000000000001</v>
      </c>
      <c r="M160" s="4">
        <v>1281.6500000000001</v>
      </c>
      <c r="N160" s="4">
        <v>1709.57</v>
      </c>
      <c r="O160" s="4">
        <v>427.92</v>
      </c>
      <c r="P160" s="3">
        <v>0.25030855712255101</v>
      </c>
    </row>
    <row r="161" spans="1:16" x14ac:dyDescent="0.3">
      <c r="A161">
        <v>1052</v>
      </c>
      <c r="B161" s="2">
        <v>45238</v>
      </c>
      <c r="C161" s="1" t="s">
        <v>31</v>
      </c>
      <c r="D161" s="1" t="s">
        <v>13</v>
      </c>
      <c r="E161" s="1" t="s">
        <v>24</v>
      </c>
      <c r="F161" s="1" t="s">
        <v>20</v>
      </c>
      <c r="G161" s="1" t="s">
        <v>25</v>
      </c>
      <c r="H161" s="1" t="s">
        <v>17</v>
      </c>
      <c r="I161" s="4">
        <v>3271.62</v>
      </c>
      <c r="J161" s="4">
        <v>3722.38</v>
      </c>
      <c r="K161">
        <v>18</v>
      </c>
      <c r="L161" s="3">
        <v>0.19</v>
      </c>
      <c r="M161" s="4">
        <v>58889.16</v>
      </c>
      <c r="N161" s="4">
        <v>66999.42</v>
      </c>
      <c r="O161" s="4">
        <v>8110.26</v>
      </c>
      <c r="P161" s="3">
        <v>0.121049704609383</v>
      </c>
    </row>
    <row r="162" spans="1:16" x14ac:dyDescent="0.3">
      <c r="A162">
        <v>1059</v>
      </c>
      <c r="B162" s="2">
        <v>45238</v>
      </c>
      <c r="C162" s="1" t="s">
        <v>18</v>
      </c>
      <c r="D162" s="1" t="s">
        <v>27</v>
      </c>
      <c r="E162" s="1" t="s">
        <v>14</v>
      </c>
      <c r="F162" s="1" t="s">
        <v>20</v>
      </c>
      <c r="G162" s="1" t="s">
        <v>21</v>
      </c>
      <c r="H162" s="1" t="s">
        <v>17</v>
      </c>
      <c r="I162" s="4">
        <v>1780.14</v>
      </c>
      <c r="J162" s="4">
        <v>2185.42</v>
      </c>
      <c r="K162">
        <v>17</v>
      </c>
      <c r="L162" s="3">
        <v>0.15</v>
      </c>
      <c r="M162" s="4">
        <v>30262.38</v>
      </c>
      <c r="N162" s="4">
        <v>37149.589999999997</v>
      </c>
      <c r="O162" s="4">
        <v>6887.21</v>
      </c>
      <c r="P162" s="3">
        <v>0.18539127888087101</v>
      </c>
    </row>
    <row r="163" spans="1:16" x14ac:dyDescent="0.3">
      <c r="A163">
        <v>1057</v>
      </c>
      <c r="B163" s="2">
        <v>45237</v>
      </c>
      <c r="C163" s="1" t="s">
        <v>23</v>
      </c>
      <c r="D163" s="1" t="s">
        <v>13</v>
      </c>
      <c r="E163" s="1" t="s">
        <v>14</v>
      </c>
      <c r="F163" s="1" t="s">
        <v>20</v>
      </c>
      <c r="G163" s="1" t="s">
        <v>21</v>
      </c>
      <c r="H163" s="1" t="s">
        <v>29</v>
      </c>
      <c r="I163" s="4">
        <v>1291.82</v>
      </c>
      <c r="J163" s="4">
        <v>1308.44</v>
      </c>
      <c r="K163">
        <v>26</v>
      </c>
      <c r="L163" s="3">
        <v>7.0000000000000007E-2</v>
      </c>
      <c r="M163" s="4">
        <v>33587.32</v>
      </c>
      <c r="N163" s="4">
        <v>34017.620000000003</v>
      </c>
      <c r="O163" s="4">
        <v>430.3</v>
      </c>
      <c r="P163" s="3">
        <v>1.26493270252299E-2</v>
      </c>
    </row>
    <row r="164" spans="1:16" x14ac:dyDescent="0.3">
      <c r="A164">
        <v>1089</v>
      </c>
      <c r="B164" s="2">
        <v>45237</v>
      </c>
      <c r="C164" s="1" t="s">
        <v>23</v>
      </c>
      <c r="D164" s="1" t="s">
        <v>19</v>
      </c>
      <c r="E164" s="1" t="s">
        <v>24</v>
      </c>
      <c r="F164" s="1" t="s">
        <v>15</v>
      </c>
      <c r="G164" s="1" t="s">
        <v>25</v>
      </c>
      <c r="H164" s="1" t="s">
        <v>17</v>
      </c>
      <c r="I164" s="4">
        <v>4157.62</v>
      </c>
      <c r="J164" s="4">
        <v>4314.5600000000004</v>
      </c>
      <c r="K164">
        <v>47</v>
      </c>
      <c r="L164" s="3">
        <v>0.17</v>
      </c>
      <c r="M164" s="4">
        <v>195408.14</v>
      </c>
      <c r="N164" s="4">
        <v>202776.33</v>
      </c>
      <c r="O164" s="4">
        <v>7368.19</v>
      </c>
      <c r="P164" s="3">
        <v>3.6336538884987203E-2</v>
      </c>
    </row>
    <row r="165" spans="1:16" x14ac:dyDescent="0.3">
      <c r="A165">
        <v>1095</v>
      </c>
      <c r="B165" s="2">
        <v>45237</v>
      </c>
      <c r="C165" s="1" t="s">
        <v>31</v>
      </c>
      <c r="D165" s="1" t="s">
        <v>19</v>
      </c>
      <c r="E165" s="1" t="s">
        <v>14</v>
      </c>
      <c r="F165" s="1" t="s">
        <v>15</v>
      </c>
      <c r="G165" s="1" t="s">
        <v>25</v>
      </c>
      <c r="H165" s="1" t="s">
        <v>17</v>
      </c>
      <c r="I165" s="4">
        <v>4266.6400000000003</v>
      </c>
      <c r="J165" s="4">
        <v>4523.3599999999997</v>
      </c>
      <c r="K165">
        <v>32</v>
      </c>
      <c r="L165" s="3">
        <v>0.3</v>
      </c>
      <c r="M165" s="4">
        <v>136532.48000000001</v>
      </c>
      <c r="N165" s="4">
        <v>144737.92000000001</v>
      </c>
      <c r="O165" s="4">
        <v>8205.44</v>
      </c>
      <c r="P165" s="3">
        <v>5.6691708710474797E-2</v>
      </c>
    </row>
    <row r="166" spans="1:16" x14ac:dyDescent="0.3">
      <c r="A166">
        <v>1098</v>
      </c>
      <c r="B166" s="2">
        <v>45237</v>
      </c>
      <c r="C166" s="1" t="s">
        <v>26</v>
      </c>
      <c r="D166" s="1" t="s">
        <v>19</v>
      </c>
      <c r="E166" s="1" t="s">
        <v>22</v>
      </c>
      <c r="F166" s="1" t="s">
        <v>20</v>
      </c>
      <c r="G166" s="1" t="s">
        <v>16</v>
      </c>
      <c r="H166" s="1" t="s">
        <v>17</v>
      </c>
      <c r="I166" s="4">
        <v>2407.8000000000002</v>
      </c>
      <c r="J166" s="4">
        <v>2502.7600000000002</v>
      </c>
      <c r="K166">
        <v>31</v>
      </c>
      <c r="L166" s="3">
        <v>0.27</v>
      </c>
      <c r="M166" s="4">
        <v>74641.8</v>
      </c>
      <c r="N166" s="4">
        <v>77577.19</v>
      </c>
      <c r="O166" s="4">
        <v>2935.39</v>
      </c>
      <c r="P166" s="3">
        <v>3.7838313040211902E-2</v>
      </c>
    </row>
    <row r="167" spans="1:16" x14ac:dyDescent="0.3">
      <c r="A167">
        <v>1006</v>
      </c>
      <c r="B167" s="2">
        <v>45236</v>
      </c>
      <c r="C167" s="1" t="s">
        <v>23</v>
      </c>
      <c r="D167" s="1" t="s">
        <v>27</v>
      </c>
      <c r="E167" s="1" t="s">
        <v>22</v>
      </c>
      <c r="F167" s="1" t="s">
        <v>20</v>
      </c>
      <c r="G167" s="1" t="s">
        <v>16</v>
      </c>
      <c r="H167" s="1" t="s">
        <v>29</v>
      </c>
      <c r="I167" s="4">
        <v>834.32</v>
      </c>
      <c r="J167" s="4">
        <v>1098.97</v>
      </c>
      <c r="K167">
        <v>22</v>
      </c>
      <c r="L167" s="3">
        <v>0.17</v>
      </c>
      <c r="M167" s="4">
        <v>18355.04</v>
      </c>
      <c r="N167" s="4">
        <v>24173.599999999999</v>
      </c>
      <c r="O167" s="4">
        <v>5818.56</v>
      </c>
      <c r="P167" s="3">
        <v>0.240698944302876</v>
      </c>
    </row>
    <row r="168" spans="1:16" x14ac:dyDescent="0.3">
      <c r="A168">
        <v>1062</v>
      </c>
      <c r="B168" s="2">
        <v>45236</v>
      </c>
      <c r="C168" s="1" t="s">
        <v>18</v>
      </c>
      <c r="D168" s="1" t="s">
        <v>13</v>
      </c>
      <c r="E168" s="1" t="s">
        <v>22</v>
      </c>
      <c r="F168" s="1" t="s">
        <v>15</v>
      </c>
      <c r="G168" s="1" t="s">
        <v>25</v>
      </c>
      <c r="H168" s="1" t="s">
        <v>17</v>
      </c>
      <c r="I168" s="4">
        <v>2361.0500000000002</v>
      </c>
      <c r="J168" s="4">
        <v>2616.19</v>
      </c>
      <c r="K168">
        <v>25</v>
      </c>
      <c r="L168" s="3">
        <v>0.3</v>
      </c>
      <c r="M168" s="4">
        <v>59026.25</v>
      </c>
      <c r="N168" s="4">
        <v>65397.25</v>
      </c>
      <c r="O168" s="4">
        <v>6371</v>
      </c>
      <c r="P168" s="3">
        <v>9.7419998547339501E-2</v>
      </c>
    </row>
    <row r="169" spans="1:16" x14ac:dyDescent="0.3">
      <c r="A169">
        <v>1071</v>
      </c>
      <c r="B169" s="2">
        <v>45236</v>
      </c>
      <c r="C169" s="1" t="s">
        <v>18</v>
      </c>
      <c r="D169" s="1" t="s">
        <v>30</v>
      </c>
      <c r="E169" s="1" t="s">
        <v>22</v>
      </c>
      <c r="F169" s="1" t="s">
        <v>20</v>
      </c>
      <c r="G169" s="1" t="s">
        <v>21</v>
      </c>
      <c r="H169" s="1" t="s">
        <v>17</v>
      </c>
      <c r="I169" s="4">
        <v>3942.34</v>
      </c>
      <c r="J169" s="4">
        <v>4142.09</v>
      </c>
      <c r="K169">
        <v>47</v>
      </c>
      <c r="L169" s="3">
        <v>0.03</v>
      </c>
      <c r="M169" s="4">
        <v>185289.98</v>
      </c>
      <c r="N169" s="4">
        <v>194676.82</v>
      </c>
      <c r="O169" s="4">
        <v>9386.84</v>
      </c>
      <c r="P169" s="3">
        <v>4.8217553584448299E-2</v>
      </c>
    </row>
    <row r="170" spans="1:16" x14ac:dyDescent="0.3">
      <c r="A170">
        <v>1088</v>
      </c>
      <c r="B170" s="2">
        <v>45236</v>
      </c>
      <c r="C170" s="1" t="s">
        <v>18</v>
      </c>
      <c r="D170" s="1" t="s">
        <v>27</v>
      </c>
      <c r="E170" s="1" t="s">
        <v>22</v>
      </c>
      <c r="F170" s="1" t="s">
        <v>15</v>
      </c>
      <c r="G170" s="1" t="s">
        <v>16</v>
      </c>
      <c r="H170" s="1" t="s">
        <v>29</v>
      </c>
      <c r="I170" s="4">
        <v>1786.35</v>
      </c>
      <c r="J170" s="4">
        <v>1935.29</v>
      </c>
      <c r="K170">
        <v>8</v>
      </c>
      <c r="L170" s="3">
        <v>0.04</v>
      </c>
      <c r="M170" s="4">
        <v>14290.8</v>
      </c>
      <c r="N170" s="4">
        <v>15482</v>
      </c>
      <c r="O170" s="4">
        <v>1191.2</v>
      </c>
      <c r="P170" s="3">
        <v>7.6940963699780401E-2</v>
      </c>
    </row>
    <row r="171" spans="1:16" x14ac:dyDescent="0.3">
      <c r="A171">
        <v>1065</v>
      </c>
      <c r="B171" s="2">
        <v>45235</v>
      </c>
      <c r="C171" s="1" t="s">
        <v>26</v>
      </c>
      <c r="D171" s="1" t="s">
        <v>13</v>
      </c>
      <c r="E171" s="1" t="s">
        <v>24</v>
      </c>
      <c r="F171" s="1" t="s">
        <v>15</v>
      </c>
      <c r="G171" s="1" t="s">
        <v>25</v>
      </c>
      <c r="H171" s="1" t="s">
        <v>17</v>
      </c>
      <c r="I171" s="4">
        <v>4173.04</v>
      </c>
      <c r="J171" s="4">
        <v>4362.4399999999996</v>
      </c>
      <c r="K171">
        <v>3</v>
      </c>
      <c r="L171" s="3">
        <v>0.23</v>
      </c>
      <c r="M171" s="4">
        <v>12519.12</v>
      </c>
      <c r="N171" s="4">
        <v>13086.63</v>
      </c>
      <c r="O171" s="4">
        <v>567.51</v>
      </c>
      <c r="P171" s="3">
        <v>4.33656334747754E-2</v>
      </c>
    </row>
    <row r="172" spans="1:16" x14ac:dyDescent="0.3">
      <c r="A172">
        <v>1072</v>
      </c>
      <c r="B172" s="2">
        <v>45235</v>
      </c>
      <c r="C172" s="1" t="s">
        <v>18</v>
      </c>
      <c r="D172" s="1" t="s">
        <v>19</v>
      </c>
      <c r="E172" s="1" t="s">
        <v>14</v>
      </c>
      <c r="F172" s="1" t="s">
        <v>15</v>
      </c>
      <c r="G172" s="1" t="s">
        <v>25</v>
      </c>
      <c r="H172" s="1" t="s">
        <v>17</v>
      </c>
      <c r="I172" s="4">
        <v>591.98</v>
      </c>
      <c r="J172" s="4">
        <v>934.04</v>
      </c>
      <c r="K172">
        <v>39</v>
      </c>
      <c r="L172" s="3">
        <v>0.26</v>
      </c>
      <c r="M172" s="4">
        <v>23087.22</v>
      </c>
      <c r="N172" s="4">
        <v>36417.42</v>
      </c>
      <c r="O172" s="4">
        <v>13330.2</v>
      </c>
      <c r="P172" s="3">
        <v>0.36603910985457</v>
      </c>
    </row>
    <row r="173" spans="1:16" x14ac:dyDescent="0.3">
      <c r="A173">
        <v>1075</v>
      </c>
      <c r="B173" s="2">
        <v>45235</v>
      </c>
      <c r="C173" s="1" t="s">
        <v>23</v>
      </c>
      <c r="D173" s="1" t="s">
        <v>13</v>
      </c>
      <c r="E173" s="1" t="s">
        <v>22</v>
      </c>
      <c r="F173" s="1" t="s">
        <v>15</v>
      </c>
      <c r="G173" s="1" t="s">
        <v>25</v>
      </c>
      <c r="H173" s="1" t="s">
        <v>29</v>
      </c>
      <c r="I173" s="4">
        <v>1675.51</v>
      </c>
      <c r="J173" s="4">
        <v>1906.64</v>
      </c>
      <c r="K173">
        <v>37</v>
      </c>
      <c r="L173" s="3">
        <v>0.13</v>
      </c>
      <c r="M173" s="4">
        <v>61993.87</v>
      </c>
      <c r="N173" s="4">
        <v>70540.87</v>
      </c>
      <c r="O173" s="4">
        <v>8547</v>
      </c>
      <c r="P173" s="3">
        <v>0.121163801920787</v>
      </c>
    </row>
    <row r="174" spans="1:16" x14ac:dyDescent="0.3">
      <c r="A174">
        <v>1086</v>
      </c>
      <c r="B174" s="2">
        <v>45235</v>
      </c>
      <c r="C174" s="1" t="s">
        <v>26</v>
      </c>
      <c r="D174" s="1" t="s">
        <v>27</v>
      </c>
      <c r="E174" s="1" t="s">
        <v>24</v>
      </c>
      <c r="F174" s="1" t="s">
        <v>15</v>
      </c>
      <c r="G174" s="1" t="s">
        <v>16</v>
      </c>
      <c r="H174" s="1" t="s">
        <v>29</v>
      </c>
      <c r="I174" s="4">
        <v>2273.91</v>
      </c>
      <c r="J174" s="4">
        <v>2578.8000000000002</v>
      </c>
      <c r="K174">
        <v>10</v>
      </c>
      <c r="L174" s="3">
        <v>0.14000000000000001</v>
      </c>
      <c r="M174" s="4">
        <v>22739.1</v>
      </c>
      <c r="N174" s="4">
        <v>25786.6</v>
      </c>
      <c r="O174" s="4">
        <v>3047.5</v>
      </c>
      <c r="P174" s="3">
        <v>0.118181536146681</v>
      </c>
    </row>
    <row r="175" spans="1:16" x14ac:dyDescent="0.3">
      <c r="A175">
        <v>1087</v>
      </c>
      <c r="B175" s="2">
        <v>45235</v>
      </c>
      <c r="C175" s="1" t="s">
        <v>12</v>
      </c>
      <c r="D175" s="1" t="s">
        <v>13</v>
      </c>
      <c r="E175" s="1" t="s">
        <v>28</v>
      </c>
      <c r="F175" s="1" t="s">
        <v>20</v>
      </c>
      <c r="G175" s="1" t="s">
        <v>21</v>
      </c>
      <c r="H175" s="1" t="s">
        <v>29</v>
      </c>
      <c r="I175" s="4">
        <v>698.74</v>
      </c>
      <c r="J175" s="4">
        <v>882.28</v>
      </c>
      <c r="K175">
        <v>30</v>
      </c>
      <c r="L175" s="3">
        <v>0.15</v>
      </c>
      <c r="M175" s="4">
        <v>20962.2</v>
      </c>
      <c r="N175" s="4">
        <v>26463.9</v>
      </c>
      <c r="O175" s="4">
        <v>5501.7</v>
      </c>
      <c r="P175" s="3">
        <v>0.20789452801741201</v>
      </c>
    </row>
    <row r="176" spans="1:16" x14ac:dyDescent="0.3">
      <c r="A176">
        <v>1028</v>
      </c>
      <c r="B176" s="2">
        <v>45233</v>
      </c>
      <c r="C176" s="1" t="s">
        <v>26</v>
      </c>
      <c r="D176" s="1" t="s">
        <v>30</v>
      </c>
      <c r="E176" s="1" t="s">
        <v>14</v>
      </c>
      <c r="F176" s="1" t="s">
        <v>15</v>
      </c>
      <c r="G176" s="1" t="s">
        <v>25</v>
      </c>
      <c r="H176" s="1" t="s">
        <v>29</v>
      </c>
      <c r="I176" s="4">
        <v>1234.69</v>
      </c>
      <c r="J176" s="4">
        <v>1511.26</v>
      </c>
      <c r="K176">
        <v>38</v>
      </c>
      <c r="L176" s="3">
        <v>0.1</v>
      </c>
      <c r="M176" s="4">
        <v>46918.22</v>
      </c>
      <c r="N176" s="4">
        <v>57424.08</v>
      </c>
      <c r="O176" s="4">
        <v>10505.86</v>
      </c>
      <c r="P176" s="3">
        <v>0.182952169194526</v>
      </c>
    </row>
    <row r="177" spans="1:16" x14ac:dyDescent="0.3">
      <c r="A177">
        <v>1058</v>
      </c>
      <c r="B177" s="2">
        <v>45233</v>
      </c>
      <c r="C177" s="1" t="s">
        <v>18</v>
      </c>
      <c r="D177" s="1" t="s">
        <v>19</v>
      </c>
      <c r="E177" s="1" t="s">
        <v>14</v>
      </c>
      <c r="F177" s="1" t="s">
        <v>20</v>
      </c>
      <c r="G177" s="1" t="s">
        <v>16</v>
      </c>
      <c r="H177" s="1" t="s">
        <v>17</v>
      </c>
      <c r="I177" s="4">
        <v>3600.95</v>
      </c>
      <c r="J177" s="4">
        <v>3702.84</v>
      </c>
      <c r="K177">
        <v>42</v>
      </c>
      <c r="L177" s="3">
        <v>0.01</v>
      </c>
      <c r="M177" s="4">
        <v>151239.9</v>
      </c>
      <c r="N177" s="4">
        <v>155518.85999999999</v>
      </c>
      <c r="O177" s="4">
        <v>4278.96</v>
      </c>
      <c r="P177" s="3">
        <v>2.75140905739664E-2</v>
      </c>
    </row>
    <row r="178" spans="1:16" x14ac:dyDescent="0.3">
      <c r="A178">
        <v>1069</v>
      </c>
      <c r="B178" s="2">
        <v>45232</v>
      </c>
      <c r="C178" s="1" t="s">
        <v>31</v>
      </c>
      <c r="D178" s="1" t="s">
        <v>30</v>
      </c>
      <c r="E178" s="1" t="s">
        <v>24</v>
      </c>
      <c r="F178" s="1" t="s">
        <v>20</v>
      </c>
      <c r="G178" s="1" t="s">
        <v>21</v>
      </c>
      <c r="H178" s="1" t="s">
        <v>29</v>
      </c>
      <c r="I178" s="4">
        <v>530.24</v>
      </c>
      <c r="J178" s="4">
        <v>987.41</v>
      </c>
      <c r="K178">
        <v>23</v>
      </c>
      <c r="L178" s="3">
        <v>0.23</v>
      </c>
      <c r="M178" s="4">
        <v>12195.52</v>
      </c>
      <c r="N178" s="4">
        <v>22705.14</v>
      </c>
      <c r="O178" s="4">
        <v>10509.62</v>
      </c>
      <c r="P178" s="3">
        <v>0.46287404526023601</v>
      </c>
    </row>
    <row r="179" spans="1:16" x14ac:dyDescent="0.3">
      <c r="A179">
        <v>1009</v>
      </c>
      <c r="B179" s="2">
        <v>45231</v>
      </c>
      <c r="C179" s="1" t="s">
        <v>23</v>
      </c>
      <c r="D179" s="1" t="s">
        <v>27</v>
      </c>
      <c r="E179" s="1" t="s">
        <v>22</v>
      </c>
      <c r="F179" s="1" t="s">
        <v>20</v>
      </c>
      <c r="G179" s="1" t="s">
        <v>21</v>
      </c>
      <c r="H179" s="1" t="s">
        <v>17</v>
      </c>
      <c r="I179" s="4">
        <v>547.79</v>
      </c>
      <c r="J179" s="4">
        <v>958.76</v>
      </c>
      <c r="K179">
        <v>14</v>
      </c>
      <c r="L179" s="3">
        <v>7.0000000000000007E-2</v>
      </c>
      <c r="M179" s="4">
        <v>7669.06</v>
      </c>
      <c r="N179" s="4">
        <v>13421.66</v>
      </c>
      <c r="O179" s="4">
        <v>5752.6</v>
      </c>
      <c r="P179" s="3">
        <v>0.42860570153021299</v>
      </c>
    </row>
    <row r="180" spans="1:16" x14ac:dyDescent="0.3">
      <c r="A180">
        <v>1026</v>
      </c>
      <c r="B180" s="2">
        <v>45231</v>
      </c>
      <c r="C180" s="1" t="s">
        <v>26</v>
      </c>
      <c r="D180" s="1" t="s">
        <v>27</v>
      </c>
      <c r="E180" s="1" t="s">
        <v>14</v>
      </c>
      <c r="F180" s="1" t="s">
        <v>15</v>
      </c>
      <c r="G180" s="1" t="s">
        <v>25</v>
      </c>
      <c r="H180" s="1" t="s">
        <v>29</v>
      </c>
      <c r="I180" s="4">
        <v>3067.05</v>
      </c>
      <c r="J180" s="4">
        <v>3386.33</v>
      </c>
      <c r="K180">
        <v>36</v>
      </c>
      <c r="L180" s="3">
        <v>0.2</v>
      </c>
      <c r="M180" s="4">
        <v>110413.8</v>
      </c>
      <c r="N180" s="4">
        <v>121900.68</v>
      </c>
      <c r="O180" s="4">
        <v>11486.88</v>
      </c>
      <c r="P180" s="3">
        <v>9.4231467781803996E-2</v>
      </c>
    </row>
    <row r="181" spans="1:16" x14ac:dyDescent="0.3">
      <c r="A181">
        <v>1028</v>
      </c>
      <c r="B181" s="2">
        <v>45231</v>
      </c>
      <c r="C181" s="1" t="s">
        <v>23</v>
      </c>
      <c r="D181" s="1" t="s">
        <v>13</v>
      </c>
      <c r="E181" s="1" t="s">
        <v>22</v>
      </c>
      <c r="F181" s="1" t="s">
        <v>15</v>
      </c>
      <c r="G181" s="1" t="s">
        <v>25</v>
      </c>
      <c r="H181" s="1" t="s">
        <v>29</v>
      </c>
      <c r="I181" s="4">
        <v>911.11</v>
      </c>
      <c r="J181" s="4">
        <v>1214.56</v>
      </c>
      <c r="K181">
        <v>24</v>
      </c>
      <c r="L181" s="3">
        <v>0.22</v>
      </c>
      <c r="M181" s="4">
        <v>21866.639999999999</v>
      </c>
      <c r="N181" s="4">
        <v>29144.16</v>
      </c>
      <c r="O181" s="4">
        <v>7277.52</v>
      </c>
      <c r="P181" s="3">
        <v>0.249707660128135</v>
      </c>
    </row>
    <row r="182" spans="1:16" x14ac:dyDescent="0.3">
      <c r="A182">
        <v>1062</v>
      </c>
      <c r="B182" s="2">
        <v>45231</v>
      </c>
      <c r="C182" s="1" t="s">
        <v>23</v>
      </c>
      <c r="D182" s="1" t="s">
        <v>13</v>
      </c>
      <c r="E182" s="1" t="s">
        <v>22</v>
      </c>
      <c r="F182" s="1" t="s">
        <v>15</v>
      </c>
      <c r="G182" s="1" t="s">
        <v>16</v>
      </c>
      <c r="H182" s="1" t="s">
        <v>29</v>
      </c>
      <c r="I182" s="4">
        <v>1050.6400000000001</v>
      </c>
      <c r="J182" s="4">
        <v>1167.33</v>
      </c>
      <c r="K182">
        <v>36</v>
      </c>
      <c r="L182" s="3">
        <v>0.22</v>
      </c>
      <c r="M182" s="4">
        <v>37823.040000000001</v>
      </c>
      <c r="N182" s="4">
        <v>42015.96</v>
      </c>
      <c r="O182" s="4">
        <v>4192.92</v>
      </c>
      <c r="P182" s="3">
        <v>9.9793507038753795E-2</v>
      </c>
    </row>
    <row r="183" spans="1:16" x14ac:dyDescent="0.3">
      <c r="A183">
        <v>1093</v>
      </c>
      <c r="B183" s="2">
        <v>45231</v>
      </c>
      <c r="C183" s="1" t="s">
        <v>31</v>
      </c>
      <c r="D183" s="1" t="s">
        <v>30</v>
      </c>
      <c r="E183" s="1" t="s">
        <v>14</v>
      </c>
      <c r="F183" s="1" t="s">
        <v>15</v>
      </c>
      <c r="G183" s="1" t="s">
        <v>21</v>
      </c>
      <c r="H183" s="1" t="s">
        <v>17</v>
      </c>
      <c r="I183" s="4">
        <v>401.64</v>
      </c>
      <c r="J183" s="4">
        <v>757.26</v>
      </c>
      <c r="K183">
        <v>46</v>
      </c>
      <c r="L183" s="3">
        <v>0.21</v>
      </c>
      <c r="M183" s="4">
        <v>18475.439999999999</v>
      </c>
      <c r="N183" s="4">
        <v>34824.300000000003</v>
      </c>
      <c r="O183" s="4">
        <v>16348.86</v>
      </c>
      <c r="P183" s="3">
        <v>0.46946701010501302</v>
      </c>
    </row>
    <row r="184" spans="1:16" x14ac:dyDescent="0.3">
      <c r="A184">
        <v>1096</v>
      </c>
      <c r="B184" s="2">
        <v>45231</v>
      </c>
      <c r="C184" s="1" t="s">
        <v>23</v>
      </c>
      <c r="D184" s="1" t="s">
        <v>27</v>
      </c>
      <c r="E184" s="1" t="s">
        <v>22</v>
      </c>
      <c r="F184" s="1" t="s">
        <v>20</v>
      </c>
      <c r="G184" s="1" t="s">
        <v>25</v>
      </c>
      <c r="H184" s="1" t="s">
        <v>17</v>
      </c>
      <c r="I184" s="4">
        <v>2774.24</v>
      </c>
      <c r="J184" s="4">
        <v>3069.94</v>
      </c>
      <c r="K184">
        <v>17</v>
      </c>
      <c r="L184" s="3">
        <v>0.23</v>
      </c>
      <c r="M184" s="4">
        <v>47162.080000000002</v>
      </c>
      <c r="N184" s="4">
        <v>52185.07</v>
      </c>
      <c r="O184" s="4">
        <v>5022.99</v>
      </c>
      <c r="P184" s="3">
        <v>9.6253392014229402E-2</v>
      </c>
    </row>
    <row r="185" spans="1:16" x14ac:dyDescent="0.3">
      <c r="A185">
        <v>1033</v>
      </c>
      <c r="B185" s="2">
        <v>45230</v>
      </c>
      <c r="C185" s="1" t="s">
        <v>12</v>
      </c>
      <c r="D185" s="1" t="s">
        <v>13</v>
      </c>
      <c r="E185" s="1" t="s">
        <v>24</v>
      </c>
      <c r="F185" s="1" t="s">
        <v>20</v>
      </c>
      <c r="G185" s="1" t="s">
        <v>16</v>
      </c>
      <c r="H185" s="1" t="s">
        <v>17</v>
      </c>
      <c r="I185" s="4">
        <v>3124.48</v>
      </c>
      <c r="J185" s="4">
        <v>3553.27</v>
      </c>
      <c r="K185">
        <v>18</v>
      </c>
      <c r="L185" s="3">
        <v>0.12</v>
      </c>
      <c r="M185" s="4">
        <v>56240.639999999999</v>
      </c>
      <c r="N185" s="4">
        <v>63956.7</v>
      </c>
      <c r="O185" s="4">
        <v>7716.06</v>
      </c>
      <c r="P185" s="3">
        <v>0.12064506142437</v>
      </c>
    </row>
    <row r="186" spans="1:16" x14ac:dyDescent="0.3">
      <c r="A186">
        <v>1029</v>
      </c>
      <c r="B186" s="2">
        <v>45229</v>
      </c>
      <c r="C186" s="1" t="s">
        <v>12</v>
      </c>
      <c r="D186" s="1" t="s">
        <v>13</v>
      </c>
      <c r="E186" s="1" t="s">
        <v>28</v>
      </c>
      <c r="F186" s="1" t="s">
        <v>20</v>
      </c>
      <c r="G186" s="1" t="s">
        <v>21</v>
      </c>
      <c r="H186" s="1" t="s">
        <v>17</v>
      </c>
      <c r="I186" s="4">
        <v>2572.8000000000002</v>
      </c>
      <c r="J186" s="4">
        <v>2760.6</v>
      </c>
      <c r="K186">
        <v>16</v>
      </c>
      <c r="L186" s="3">
        <v>0.15</v>
      </c>
      <c r="M186" s="4">
        <v>41164.800000000003</v>
      </c>
      <c r="N186" s="4">
        <v>44167.199999999997</v>
      </c>
      <c r="O186" s="4">
        <v>3002.4</v>
      </c>
      <c r="P186" s="3">
        <v>6.7978047057544996E-2</v>
      </c>
    </row>
    <row r="187" spans="1:16" x14ac:dyDescent="0.3">
      <c r="A187">
        <v>1049</v>
      </c>
      <c r="B187" s="2">
        <v>45229</v>
      </c>
      <c r="C187" s="1" t="s">
        <v>26</v>
      </c>
      <c r="D187" s="1" t="s">
        <v>13</v>
      </c>
      <c r="E187" s="1" t="s">
        <v>22</v>
      </c>
      <c r="F187" s="1" t="s">
        <v>15</v>
      </c>
      <c r="G187" s="1" t="s">
        <v>21</v>
      </c>
      <c r="H187" s="1" t="s">
        <v>29</v>
      </c>
      <c r="I187" s="4">
        <v>4243.9799999999996</v>
      </c>
      <c r="J187" s="4">
        <v>4474.51</v>
      </c>
      <c r="K187">
        <v>38</v>
      </c>
      <c r="L187" s="3">
        <v>0.01</v>
      </c>
      <c r="M187" s="4">
        <v>161271.24</v>
      </c>
      <c r="N187" s="4">
        <v>170031</v>
      </c>
      <c r="O187" s="4">
        <v>8759.76</v>
      </c>
      <c r="P187" s="3">
        <v>5.1518605430774397E-2</v>
      </c>
    </row>
    <row r="188" spans="1:16" x14ac:dyDescent="0.3">
      <c r="A188">
        <v>1053</v>
      </c>
      <c r="B188" s="2">
        <v>45229</v>
      </c>
      <c r="C188" s="1" t="s">
        <v>18</v>
      </c>
      <c r="D188" s="1" t="s">
        <v>30</v>
      </c>
      <c r="E188" s="1" t="s">
        <v>22</v>
      </c>
      <c r="F188" s="1" t="s">
        <v>15</v>
      </c>
      <c r="G188" s="1" t="s">
        <v>16</v>
      </c>
      <c r="H188" s="1" t="s">
        <v>29</v>
      </c>
      <c r="I188" s="4">
        <v>2258.44</v>
      </c>
      <c r="J188" s="4">
        <v>2475.56</v>
      </c>
      <c r="K188">
        <v>1</v>
      </c>
      <c r="L188" s="3">
        <v>0.25</v>
      </c>
      <c r="M188" s="4">
        <v>2258.44</v>
      </c>
      <c r="N188" s="4">
        <v>2475.31</v>
      </c>
      <c r="O188" s="4">
        <v>216.87</v>
      </c>
      <c r="P188" s="3">
        <v>8.7613268641099501E-2</v>
      </c>
    </row>
    <row r="189" spans="1:16" x14ac:dyDescent="0.3">
      <c r="A189">
        <v>1071</v>
      </c>
      <c r="B189" s="2">
        <v>45229</v>
      </c>
      <c r="C189" s="1" t="s">
        <v>26</v>
      </c>
      <c r="D189" s="1" t="s">
        <v>19</v>
      </c>
      <c r="E189" s="1" t="s">
        <v>28</v>
      </c>
      <c r="F189" s="1" t="s">
        <v>15</v>
      </c>
      <c r="G189" s="1" t="s">
        <v>25</v>
      </c>
      <c r="H189" s="1" t="s">
        <v>29</v>
      </c>
      <c r="I189" s="4">
        <v>2701.39</v>
      </c>
      <c r="J189" s="4">
        <v>3185.81</v>
      </c>
      <c r="K189">
        <v>22</v>
      </c>
      <c r="L189" s="3">
        <v>0.01</v>
      </c>
      <c r="M189" s="4">
        <v>59430.58</v>
      </c>
      <c r="N189" s="4">
        <v>70087.600000000006</v>
      </c>
      <c r="O189" s="4">
        <v>10657.02</v>
      </c>
      <c r="P189" s="3">
        <v>0.15205285956431699</v>
      </c>
    </row>
    <row r="190" spans="1:16" x14ac:dyDescent="0.3">
      <c r="A190">
        <v>1097</v>
      </c>
      <c r="B190" s="2">
        <v>45229</v>
      </c>
      <c r="C190" s="1" t="s">
        <v>12</v>
      </c>
      <c r="D190" s="1" t="s">
        <v>19</v>
      </c>
      <c r="E190" s="1" t="s">
        <v>28</v>
      </c>
      <c r="F190" s="1" t="s">
        <v>15</v>
      </c>
      <c r="G190" s="1" t="s">
        <v>16</v>
      </c>
      <c r="H190" s="1" t="s">
        <v>17</v>
      </c>
      <c r="I190" s="4">
        <v>4264.46</v>
      </c>
      <c r="J190" s="4">
        <v>4315.5200000000004</v>
      </c>
      <c r="K190">
        <v>49</v>
      </c>
      <c r="L190" s="3">
        <v>7.0000000000000007E-2</v>
      </c>
      <c r="M190" s="4">
        <v>208958.54</v>
      </c>
      <c r="N190" s="4">
        <v>211457.05</v>
      </c>
      <c r="O190" s="4">
        <v>2498.5100000000002</v>
      </c>
      <c r="P190" s="3">
        <v>1.18156855020913E-2</v>
      </c>
    </row>
    <row r="191" spans="1:16" x14ac:dyDescent="0.3">
      <c r="A191">
        <v>1017</v>
      </c>
      <c r="B191" s="2">
        <v>45228</v>
      </c>
      <c r="C191" s="1" t="s">
        <v>12</v>
      </c>
      <c r="D191" s="1" t="s">
        <v>13</v>
      </c>
      <c r="E191" s="1" t="s">
        <v>24</v>
      </c>
      <c r="F191" s="1" t="s">
        <v>15</v>
      </c>
      <c r="G191" s="1" t="s">
        <v>25</v>
      </c>
      <c r="H191" s="1" t="s">
        <v>29</v>
      </c>
      <c r="I191" s="4">
        <v>641.67999999999995</v>
      </c>
      <c r="J191" s="4">
        <v>752.24</v>
      </c>
      <c r="K191">
        <v>1</v>
      </c>
      <c r="L191" s="3">
        <v>0.22</v>
      </c>
      <c r="M191" s="4">
        <v>641.67999999999995</v>
      </c>
      <c r="N191" s="4">
        <v>752.02</v>
      </c>
      <c r="O191" s="4">
        <v>110.34</v>
      </c>
      <c r="P191" s="3">
        <v>0.14672482114837401</v>
      </c>
    </row>
    <row r="192" spans="1:16" x14ac:dyDescent="0.3">
      <c r="A192">
        <v>1019</v>
      </c>
      <c r="B192" s="2">
        <v>45228</v>
      </c>
      <c r="C192" s="1" t="s">
        <v>18</v>
      </c>
      <c r="D192" s="1" t="s">
        <v>19</v>
      </c>
      <c r="E192" s="1" t="s">
        <v>22</v>
      </c>
      <c r="F192" s="1" t="s">
        <v>15</v>
      </c>
      <c r="G192" s="1" t="s">
        <v>25</v>
      </c>
      <c r="H192" s="1" t="s">
        <v>29</v>
      </c>
      <c r="I192" s="4">
        <v>333.69</v>
      </c>
      <c r="J192" s="4">
        <v>685.1</v>
      </c>
      <c r="K192">
        <v>31</v>
      </c>
      <c r="L192" s="3">
        <v>0.04</v>
      </c>
      <c r="M192" s="4">
        <v>10344.39</v>
      </c>
      <c r="N192" s="4">
        <v>21236.86</v>
      </c>
      <c r="O192" s="4">
        <v>10892.47</v>
      </c>
      <c r="P192" s="3">
        <v>0.51290397921349995</v>
      </c>
    </row>
    <row r="193" spans="1:16" x14ac:dyDescent="0.3">
      <c r="A193">
        <v>1034</v>
      </c>
      <c r="B193" s="2">
        <v>45228</v>
      </c>
      <c r="C193" s="1" t="s">
        <v>18</v>
      </c>
      <c r="D193" s="1" t="s">
        <v>30</v>
      </c>
      <c r="E193" s="1" t="s">
        <v>22</v>
      </c>
      <c r="F193" s="1" t="s">
        <v>15</v>
      </c>
      <c r="G193" s="1" t="s">
        <v>21</v>
      </c>
      <c r="H193" s="1" t="s">
        <v>17</v>
      </c>
      <c r="I193" s="4">
        <v>978.15</v>
      </c>
      <c r="J193" s="4">
        <v>1040.21</v>
      </c>
      <c r="K193">
        <v>34</v>
      </c>
      <c r="L193" s="3">
        <v>0.12</v>
      </c>
      <c r="M193" s="4">
        <v>33257.1</v>
      </c>
      <c r="N193" s="4">
        <v>35363.06</v>
      </c>
      <c r="O193" s="4">
        <v>2105.96</v>
      </c>
      <c r="P193" s="3">
        <v>5.9552538722610598E-2</v>
      </c>
    </row>
    <row r="194" spans="1:16" x14ac:dyDescent="0.3">
      <c r="A194">
        <v>1044</v>
      </c>
      <c r="B194" s="2">
        <v>45228</v>
      </c>
      <c r="C194" s="1" t="s">
        <v>31</v>
      </c>
      <c r="D194" s="1" t="s">
        <v>30</v>
      </c>
      <c r="E194" s="1" t="s">
        <v>14</v>
      </c>
      <c r="F194" s="1" t="s">
        <v>15</v>
      </c>
      <c r="G194" s="1" t="s">
        <v>16</v>
      </c>
      <c r="H194" s="1" t="s">
        <v>29</v>
      </c>
      <c r="I194" s="4">
        <v>1812.66</v>
      </c>
      <c r="J194" s="4">
        <v>2196.3000000000002</v>
      </c>
      <c r="K194">
        <v>11</v>
      </c>
      <c r="L194" s="3">
        <v>0.08</v>
      </c>
      <c r="M194" s="4">
        <v>19939.259999999998</v>
      </c>
      <c r="N194" s="4">
        <v>24158.42</v>
      </c>
      <c r="O194" s="4">
        <v>4219.16</v>
      </c>
      <c r="P194" s="3">
        <v>0.17464552731511401</v>
      </c>
    </row>
    <row r="195" spans="1:16" x14ac:dyDescent="0.3">
      <c r="A195">
        <v>1054</v>
      </c>
      <c r="B195" s="2">
        <v>45228</v>
      </c>
      <c r="C195" s="1" t="s">
        <v>18</v>
      </c>
      <c r="D195" s="1" t="s">
        <v>19</v>
      </c>
      <c r="E195" s="1" t="s">
        <v>14</v>
      </c>
      <c r="F195" s="1" t="s">
        <v>20</v>
      </c>
      <c r="G195" s="1" t="s">
        <v>16</v>
      </c>
      <c r="H195" s="1" t="s">
        <v>17</v>
      </c>
      <c r="I195" s="4">
        <v>3610.21</v>
      </c>
      <c r="J195" s="4">
        <v>3817.99</v>
      </c>
      <c r="K195">
        <v>8</v>
      </c>
      <c r="L195" s="3">
        <v>0.15</v>
      </c>
      <c r="M195" s="4">
        <v>28881.68</v>
      </c>
      <c r="N195" s="4">
        <v>30542.720000000001</v>
      </c>
      <c r="O195" s="4">
        <v>1661.04</v>
      </c>
      <c r="P195" s="3">
        <v>5.4384154390964501E-2</v>
      </c>
    </row>
    <row r="196" spans="1:16" x14ac:dyDescent="0.3">
      <c r="A196">
        <v>1033</v>
      </c>
      <c r="B196" s="2">
        <v>45227</v>
      </c>
      <c r="C196" s="1" t="s">
        <v>18</v>
      </c>
      <c r="D196" s="1" t="s">
        <v>30</v>
      </c>
      <c r="E196" s="1" t="s">
        <v>14</v>
      </c>
      <c r="F196" s="1" t="s">
        <v>20</v>
      </c>
      <c r="G196" s="1" t="s">
        <v>25</v>
      </c>
      <c r="H196" s="1" t="s">
        <v>29</v>
      </c>
      <c r="I196" s="4">
        <v>4781.42</v>
      </c>
      <c r="J196" s="4">
        <v>4864.34</v>
      </c>
      <c r="K196">
        <v>43</v>
      </c>
      <c r="L196" s="3">
        <v>0.25</v>
      </c>
      <c r="M196" s="4">
        <v>205601.06</v>
      </c>
      <c r="N196" s="4">
        <v>209155.87</v>
      </c>
      <c r="O196" s="4">
        <v>3554.81</v>
      </c>
      <c r="P196" s="3">
        <v>1.69959848604775E-2</v>
      </c>
    </row>
    <row r="197" spans="1:16" x14ac:dyDescent="0.3">
      <c r="A197">
        <v>1079</v>
      </c>
      <c r="B197" s="2">
        <v>45227</v>
      </c>
      <c r="C197" s="1" t="s">
        <v>23</v>
      </c>
      <c r="D197" s="1" t="s">
        <v>19</v>
      </c>
      <c r="E197" s="1" t="s">
        <v>24</v>
      </c>
      <c r="F197" s="1" t="s">
        <v>20</v>
      </c>
      <c r="G197" s="1" t="s">
        <v>25</v>
      </c>
      <c r="H197" s="1" t="s">
        <v>17</v>
      </c>
      <c r="I197" s="4">
        <v>1127.76</v>
      </c>
      <c r="J197" s="4">
        <v>1265.6600000000001</v>
      </c>
      <c r="K197">
        <v>38</v>
      </c>
      <c r="L197" s="3">
        <v>0.26</v>
      </c>
      <c r="M197" s="4">
        <v>42854.879999999997</v>
      </c>
      <c r="N197" s="4">
        <v>48085.2</v>
      </c>
      <c r="O197" s="4">
        <v>5230.32</v>
      </c>
      <c r="P197" s="3">
        <v>0.10877192982456101</v>
      </c>
    </row>
    <row r="198" spans="1:16" x14ac:dyDescent="0.3">
      <c r="A198">
        <v>1081</v>
      </c>
      <c r="B198" s="2">
        <v>45227</v>
      </c>
      <c r="C198" s="1" t="s">
        <v>31</v>
      </c>
      <c r="D198" s="1" t="s">
        <v>30</v>
      </c>
      <c r="E198" s="1" t="s">
        <v>22</v>
      </c>
      <c r="F198" s="1" t="s">
        <v>15</v>
      </c>
      <c r="G198" s="1" t="s">
        <v>16</v>
      </c>
      <c r="H198" s="1" t="s">
        <v>17</v>
      </c>
      <c r="I198" s="4">
        <v>1411.37</v>
      </c>
      <c r="J198" s="4">
        <v>1675.35</v>
      </c>
      <c r="K198">
        <v>23</v>
      </c>
      <c r="L198" s="3">
        <v>0.21</v>
      </c>
      <c r="M198" s="4">
        <v>32461.51</v>
      </c>
      <c r="N198" s="4">
        <v>38528.22</v>
      </c>
      <c r="O198" s="4">
        <v>6066.71</v>
      </c>
      <c r="P198" s="3">
        <v>0.15746146590732699</v>
      </c>
    </row>
    <row r="199" spans="1:16" x14ac:dyDescent="0.3">
      <c r="A199">
        <v>1091</v>
      </c>
      <c r="B199" s="2">
        <v>45227</v>
      </c>
      <c r="C199" s="1" t="s">
        <v>23</v>
      </c>
      <c r="D199" s="1" t="s">
        <v>19</v>
      </c>
      <c r="E199" s="1" t="s">
        <v>24</v>
      </c>
      <c r="F199" s="1" t="s">
        <v>20</v>
      </c>
      <c r="G199" s="1" t="s">
        <v>25</v>
      </c>
      <c r="H199" s="1" t="s">
        <v>29</v>
      </c>
      <c r="I199" s="4">
        <v>2184.4899999999998</v>
      </c>
      <c r="J199" s="4">
        <v>2540.42</v>
      </c>
      <c r="K199">
        <v>39</v>
      </c>
      <c r="L199" s="3">
        <v>0.27</v>
      </c>
      <c r="M199" s="4">
        <v>85195.11</v>
      </c>
      <c r="N199" s="4">
        <v>99065.85</v>
      </c>
      <c r="O199" s="4">
        <v>13870.74</v>
      </c>
      <c r="P199" s="3">
        <v>0.14001535342401</v>
      </c>
    </row>
    <row r="200" spans="1:16" x14ac:dyDescent="0.3">
      <c r="A200">
        <v>1087</v>
      </c>
      <c r="B200" s="2">
        <v>45226</v>
      </c>
      <c r="C200" s="1" t="s">
        <v>12</v>
      </c>
      <c r="D200" s="1" t="s">
        <v>30</v>
      </c>
      <c r="E200" s="1" t="s">
        <v>22</v>
      </c>
      <c r="F200" s="1" t="s">
        <v>15</v>
      </c>
      <c r="G200" s="1" t="s">
        <v>21</v>
      </c>
      <c r="H200" s="1" t="s">
        <v>29</v>
      </c>
      <c r="I200" s="4">
        <v>3139.36</v>
      </c>
      <c r="J200" s="4">
        <v>3423.66</v>
      </c>
      <c r="K200">
        <v>27</v>
      </c>
      <c r="L200" s="3">
        <v>0.18</v>
      </c>
      <c r="M200" s="4">
        <v>84762.72</v>
      </c>
      <c r="N200" s="4">
        <v>92433.96</v>
      </c>
      <c r="O200" s="4">
        <v>7671.24</v>
      </c>
      <c r="P200" s="3">
        <v>8.2991575823431099E-2</v>
      </c>
    </row>
    <row r="201" spans="1:16" x14ac:dyDescent="0.3">
      <c r="A201">
        <v>1089</v>
      </c>
      <c r="B201" s="2">
        <v>45226</v>
      </c>
      <c r="C201" s="1" t="s">
        <v>18</v>
      </c>
      <c r="D201" s="1" t="s">
        <v>30</v>
      </c>
      <c r="E201" s="1" t="s">
        <v>24</v>
      </c>
      <c r="F201" s="1" t="s">
        <v>20</v>
      </c>
      <c r="G201" s="1" t="s">
        <v>21</v>
      </c>
      <c r="H201" s="1" t="s">
        <v>29</v>
      </c>
      <c r="I201" s="4">
        <v>3851.45</v>
      </c>
      <c r="J201" s="4">
        <v>4186.9799999999996</v>
      </c>
      <c r="K201">
        <v>43</v>
      </c>
      <c r="L201" s="3">
        <v>0.3</v>
      </c>
      <c r="M201" s="4">
        <v>165612.35</v>
      </c>
      <c r="N201" s="4">
        <v>180027.24</v>
      </c>
      <c r="O201" s="4">
        <v>14414.89</v>
      </c>
      <c r="P201" s="3">
        <v>8.0070604870685097E-2</v>
      </c>
    </row>
    <row r="202" spans="1:16" x14ac:dyDescent="0.3">
      <c r="A202">
        <v>1097</v>
      </c>
      <c r="B202" s="2">
        <v>45225</v>
      </c>
      <c r="C202" s="1" t="s">
        <v>26</v>
      </c>
      <c r="D202" s="1" t="s">
        <v>13</v>
      </c>
      <c r="E202" s="1" t="s">
        <v>28</v>
      </c>
      <c r="F202" s="1" t="s">
        <v>20</v>
      </c>
      <c r="G202" s="1" t="s">
        <v>21</v>
      </c>
      <c r="H202" s="1" t="s">
        <v>17</v>
      </c>
      <c r="I202" s="4">
        <v>4686.79</v>
      </c>
      <c r="J202" s="4">
        <v>5046.51</v>
      </c>
      <c r="K202">
        <v>27</v>
      </c>
      <c r="L202" s="3">
        <v>0.05</v>
      </c>
      <c r="M202" s="4">
        <v>126543.33</v>
      </c>
      <c r="N202" s="4">
        <v>136254.42000000001</v>
      </c>
      <c r="O202" s="4">
        <v>9711.09</v>
      </c>
      <c r="P202" s="3">
        <v>7.1271742964374996E-2</v>
      </c>
    </row>
    <row r="203" spans="1:16" x14ac:dyDescent="0.3">
      <c r="A203">
        <v>1026</v>
      </c>
      <c r="B203" s="2">
        <v>45223</v>
      </c>
      <c r="C203" s="1" t="s">
        <v>18</v>
      </c>
      <c r="D203" s="1" t="s">
        <v>13</v>
      </c>
      <c r="E203" s="1" t="s">
        <v>22</v>
      </c>
      <c r="F203" s="1" t="s">
        <v>20</v>
      </c>
      <c r="G203" s="1" t="s">
        <v>21</v>
      </c>
      <c r="H203" s="1" t="s">
        <v>29</v>
      </c>
      <c r="I203" s="4">
        <v>1741.66</v>
      </c>
      <c r="J203" s="4">
        <v>2169.86</v>
      </c>
      <c r="K203">
        <v>45</v>
      </c>
      <c r="L203" s="3">
        <v>0.14000000000000001</v>
      </c>
      <c r="M203" s="4">
        <v>78374.7</v>
      </c>
      <c r="N203" s="4">
        <v>97637.4</v>
      </c>
      <c r="O203" s="4">
        <v>19262.7</v>
      </c>
      <c r="P203" s="3">
        <v>0.19728812934387799</v>
      </c>
    </row>
    <row r="204" spans="1:16" x14ac:dyDescent="0.3">
      <c r="A204">
        <v>1087</v>
      </c>
      <c r="B204" s="2">
        <v>45223</v>
      </c>
      <c r="C204" s="1" t="s">
        <v>23</v>
      </c>
      <c r="D204" s="1" t="s">
        <v>13</v>
      </c>
      <c r="E204" s="1" t="s">
        <v>14</v>
      </c>
      <c r="F204" s="1" t="s">
        <v>15</v>
      </c>
      <c r="G204" s="1" t="s">
        <v>21</v>
      </c>
      <c r="H204" s="1" t="s">
        <v>17</v>
      </c>
      <c r="I204" s="4">
        <v>551.83000000000004</v>
      </c>
      <c r="J204" s="4">
        <v>569.63</v>
      </c>
      <c r="K204">
        <v>28</v>
      </c>
      <c r="L204" s="3">
        <v>0.13</v>
      </c>
      <c r="M204" s="4">
        <v>15451.24</v>
      </c>
      <c r="N204" s="4">
        <v>15946</v>
      </c>
      <c r="O204" s="4">
        <v>494.76</v>
      </c>
      <c r="P204" s="3">
        <v>3.1027216856892002E-2</v>
      </c>
    </row>
    <row r="205" spans="1:16" x14ac:dyDescent="0.3">
      <c r="A205">
        <v>1023</v>
      </c>
      <c r="B205" s="2">
        <v>45222</v>
      </c>
      <c r="C205" s="1" t="s">
        <v>18</v>
      </c>
      <c r="D205" s="1" t="s">
        <v>27</v>
      </c>
      <c r="E205" s="1" t="s">
        <v>22</v>
      </c>
      <c r="F205" s="1" t="s">
        <v>20</v>
      </c>
      <c r="G205" s="1" t="s">
        <v>21</v>
      </c>
      <c r="H205" s="1" t="s">
        <v>17</v>
      </c>
      <c r="I205" s="4">
        <v>309.77999999999997</v>
      </c>
      <c r="J205" s="4">
        <v>350.38</v>
      </c>
      <c r="K205">
        <v>42</v>
      </c>
      <c r="L205" s="3">
        <v>0.19</v>
      </c>
      <c r="M205" s="4">
        <v>13010.76</v>
      </c>
      <c r="N205" s="4">
        <v>14707.98</v>
      </c>
      <c r="O205" s="4">
        <v>1697.22</v>
      </c>
      <c r="P205" s="3">
        <v>0.115394500128502</v>
      </c>
    </row>
    <row r="206" spans="1:16" x14ac:dyDescent="0.3">
      <c r="A206">
        <v>1054</v>
      </c>
      <c r="B206" s="2">
        <v>45222</v>
      </c>
      <c r="C206" s="1" t="s">
        <v>18</v>
      </c>
      <c r="D206" s="1" t="s">
        <v>13</v>
      </c>
      <c r="E206" s="1" t="s">
        <v>22</v>
      </c>
      <c r="F206" s="1" t="s">
        <v>20</v>
      </c>
      <c r="G206" s="1" t="s">
        <v>25</v>
      </c>
      <c r="H206" s="1" t="s">
        <v>17</v>
      </c>
      <c r="I206" s="4">
        <v>4117.13</v>
      </c>
      <c r="J206" s="4">
        <v>4177.0600000000004</v>
      </c>
      <c r="K206">
        <v>8</v>
      </c>
      <c r="L206" s="3">
        <v>0.25</v>
      </c>
      <c r="M206" s="4">
        <v>32937.040000000001</v>
      </c>
      <c r="N206" s="4">
        <v>33414.480000000003</v>
      </c>
      <c r="O206" s="4">
        <v>477.44</v>
      </c>
      <c r="P206" s="3">
        <v>1.42884162794094E-2</v>
      </c>
    </row>
    <row r="207" spans="1:16" x14ac:dyDescent="0.3">
      <c r="A207">
        <v>1054</v>
      </c>
      <c r="B207" s="2">
        <v>45222</v>
      </c>
      <c r="C207" s="1" t="s">
        <v>18</v>
      </c>
      <c r="D207" s="1" t="s">
        <v>27</v>
      </c>
      <c r="E207" s="1" t="s">
        <v>28</v>
      </c>
      <c r="F207" s="1" t="s">
        <v>20</v>
      </c>
      <c r="G207" s="1" t="s">
        <v>21</v>
      </c>
      <c r="H207" s="1" t="s">
        <v>17</v>
      </c>
      <c r="I207" s="4">
        <v>4325.0200000000004</v>
      </c>
      <c r="J207" s="4">
        <v>4391.67</v>
      </c>
      <c r="K207">
        <v>48</v>
      </c>
      <c r="L207" s="3">
        <v>0.16</v>
      </c>
      <c r="M207" s="4">
        <v>207600.96</v>
      </c>
      <c r="N207" s="4">
        <v>210792.48</v>
      </c>
      <c r="O207" s="4">
        <v>3191.52</v>
      </c>
      <c r="P207" s="3">
        <v>1.5140578069957699E-2</v>
      </c>
    </row>
    <row r="208" spans="1:16" x14ac:dyDescent="0.3">
      <c r="A208">
        <v>1060</v>
      </c>
      <c r="B208" s="2">
        <v>45222</v>
      </c>
      <c r="C208" s="1" t="s">
        <v>23</v>
      </c>
      <c r="D208" s="1" t="s">
        <v>19</v>
      </c>
      <c r="E208" s="1" t="s">
        <v>14</v>
      </c>
      <c r="F208" s="1" t="s">
        <v>15</v>
      </c>
      <c r="G208" s="1" t="s">
        <v>25</v>
      </c>
      <c r="H208" s="1" t="s">
        <v>17</v>
      </c>
      <c r="I208" s="4">
        <v>1747.05</v>
      </c>
      <c r="J208" s="4">
        <v>1830.27</v>
      </c>
      <c r="K208">
        <v>46</v>
      </c>
      <c r="L208" s="3">
        <v>0.15</v>
      </c>
      <c r="M208" s="4">
        <v>80364.3</v>
      </c>
      <c r="N208" s="4">
        <v>84185.52</v>
      </c>
      <c r="O208" s="4">
        <v>3821.22</v>
      </c>
      <c r="P208" s="3">
        <v>4.5390466198937801E-2</v>
      </c>
    </row>
    <row r="209" spans="1:16" x14ac:dyDescent="0.3">
      <c r="A209">
        <v>1073</v>
      </c>
      <c r="B209" s="2">
        <v>45222</v>
      </c>
      <c r="C209" s="1" t="s">
        <v>31</v>
      </c>
      <c r="D209" s="1" t="s">
        <v>27</v>
      </c>
      <c r="E209" s="1" t="s">
        <v>14</v>
      </c>
      <c r="F209" s="1" t="s">
        <v>20</v>
      </c>
      <c r="G209" s="1" t="s">
        <v>21</v>
      </c>
      <c r="H209" s="1" t="s">
        <v>17</v>
      </c>
      <c r="I209" s="4">
        <v>4369.5</v>
      </c>
      <c r="J209" s="4">
        <v>4381.8900000000003</v>
      </c>
      <c r="K209">
        <v>45</v>
      </c>
      <c r="L209" s="3">
        <v>0.02</v>
      </c>
      <c r="M209" s="4">
        <v>196627.5</v>
      </c>
      <c r="N209" s="4">
        <v>197184.15</v>
      </c>
      <c r="O209" s="4">
        <v>556.65</v>
      </c>
      <c r="P209" s="3">
        <v>2.8229956616695599E-3</v>
      </c>
    </row>
    <row r="210" spans="1:16" x14ac:dyDescent="0.3">
      <c r="A210">
        <v>1012</v>
      </c>
      <c r="B210" s="2">
        <v>45221</v>
      </c>
      <c r="C210" s="1" t="s">
        <v>18</v>
      </c>
      <c r="D210" s="1" t="s">
        <v>30</v>
      </c>
      <c r="E210" s="1" t="s">
        <v>24</v>
      </c>
      <c r="F210" s="1" t="s">
        <v>15</v>
      </c>
      <c r="G210" s="1" t="s">
        <v>25</v>
      </c>
      <c r="H210" s="1" t="s">
        <v>17</v>
      </c>
      <c r="I210" s="4">
        <v>2462.5500000000002</v>
      </c>
      <c r="J210" s="4">
        <v>2521.77</v>
      </c>
      <c r="K210">
        <v>34</v>
      </c>
      <c r="L210" s="3">
        <v>0.21</v>
      </c>
      <c r="M210" s="4">
        <v>83726.7</v>
      </c>
      <c r="N210" s="4">
        <v>85733.04</v>
      </c>
      <c r="O210" s="4">
        <v>2006.34</v>
      </c>
      <c r="P210" s="3">
        <v>2.3402179603102799E-2</v>
      </c>
    </row>
    <row r="211" spans="1:16" x14ac:dyDescent="0.3">
      <c r="A211">
        <v>1057</v>
      </c>
      <c r="B211" s="2">
        <v>45221</v>
      </c>
      <c r="C211" s="1" t="s">
        <v>12</v>
      </c>
      <c r="D211" s="1" t="s">
        <v>27</v>
      </c>
      <c r="E211" s="1" t="s">
        <v>14</v>
      </c>
      <c r="F211" s="1" t="s">
        <v>15</v>
      </c>
      <c r="G211" s="1" t="s">
        <v>25</v>
      </c>
      <c r="H211" s="1" t="s">
        <v>17</v>
      </c>
      <c r="I211" s="4">
        <v>3233.37</v>
      </c>
      <c r="J211" s="4">
        <v>3723.21</v>
      </c>
      <c r="K211">
        <v>40</v>
      </c>
      <c r="L211" s="3">
        <v>0.22</v>
      </c>
      <c r="M211" s="4">
        <v>129334.8</v>
      </c>
      <c r="N211" s="4">
        <v>148919.6</v>
      </c>
      <c r="O211" s="4">
        <v>19584.8</v>
      </c>
      <c r="P211" s="3">
        <v>0.13151257457043899</v>
      </c>
    </row>
    <row r="212" spans="1:16" x14ac:dyDescent="0.3">
      <c r="A212">
        <v>1060</v>
      </c>
      <c r="B212" s="2">
        <v>45221</v>
      </c>
      <c r="C212" s="1" t="s">
        <v>23</v>
      </c>
      <c r="D212" s="1" t="s">
        <v>30</v>
      </c>
      <c r="E212" s="1" t="s">
        <v>24</v>
      </c>
      <c r="F212" s="1" t="s">
        <v>20</v>
      </c>
      <c r="G212" s="1" t="s">
        <v>21</v>
      </c>
      <c r="H212" s="1" t="s">
        <v>17</v>
      </c>
      <c r="I212" s="4">
        <v>3648.04</v>
      </c>
      <c r="J212" s="4">
        <v>4143.51</v>
      </c>
      <c r="K212">
        <v>11</v>
      </c>
      <c r="L212" s="3">
        <v>0.17</v>
      </c>
      <c r="M212" s="4">
        <v>40128.44</v>
      </c>
      <c r="N212" s="4">
        <v>45576.74</v>
      </c>
      <c r="O212" s="4">
        <v>5448.3</v>
      </c>
      <c r="P212" s="3">
        <v>0.119541239676203</v>
      </c>
    </row>
    <row r="213" spans="1:16" x14ac:dyDescent="0.3">
      <c r="A213">
        <v>1099</v>
      </c>
      <c r="B213" s="2">
        <v>45221</v>
      </c>
      <c r="C213" s="1" t="s">
        <v>23</v>
      </c>
      <c r="D213" s="1" t="s">
        <v>19</v>
      </c>
      <c r="E213" s="1" t="s">
        <v>14</v>
      </c>
      <c r="F213" s="1" t="s">
        <v>15</v>
      </c>
      <c r="G213" s="1" t="s">
        <v>16</v>
      </c>
      <c r="H213" s="1" t="s">
        <v>29</v>
      </c>
      <c r="I213" s="4">
        <v>906.47</v>
      </c>
      <c r="J213" s="4">
        <v>1283.04</v>
      </c>
      <c r="K213">
        <v>43</v>
      </c>
      <c r="L213" s="3">
        <v>0.24</v>
      </c>
      <c r="M213" s="4">
        <v>38978.21</v>
      </c>
      <c r="N213" s="4">
        <v>55160.4</v>
      </c>
      <c r="O213" s="4">
        <v>16182.19</v>
      </c>
      <c r="P213" s="3">
        <v>0.29336607421265998</v>
      </c>
    </row>
    <row r="214" spans="1:16" x14ac:dyDescent="0.3">
      <c r="A214">
        <v>1013</v>
      </c>
      <c r="B214" s="2">
        <v>45220</v>
      </c>
      <c r="C214" s="1" t="s">
        <v>18</v>
      </c>
      <c r="D214" s="1" t="s">
        <v>13</v>
      </c>
      <c r="E214" s="1" t="s">
        <v>28</v>
      </c>
      <c r="F214" s="1" t="s">
        <v>20</v>
      </c>
      <c r="G214" s="1" t="s">
        <v>25</v>
      </c>
      <c r="H214" s="1" t="s">
        <v>29</v>
      </c>
      <c r="I214" s="4">
        <v>1533.36</v>
      </c>
      <c r="J214" s="4">
        <v>1649.74</v>
      </c>
      <c r="K214">
        <v>20</v>
      </c>
      <c r="L214" s="3">
        <v>0.1</v>
      </c>
      <c r="M214" s="4">
        <v>30667.200000000001</v>
      </c>
      <c r="N214" s="4">
        <v>32992.800000000003</v>
      </c>
      <c r="O214" s="4">
        <v>2325.6</v>
      </c>
      <c r="P214" s="3">
        <v>7.0488106495962793E-2</v>
      </c>
    </row>
    <row r="215" spans="1:16" x14ac:dyDescent="0.3">
      <c r="A215">
        <v>1073</v>
      </c>
      <c r="B215" s="2">
        <v>45220</v>
      </c>
      <c r="C215" s="1" t="s">
        <v>26</v>
      </c>
      <c r="D215" s="1" t="s">
        <v>19</v>
      </c>
      <c r="E215" s="1" t="s">
        <v>24</v>
      </c>
      <c r="F215" s="1" t="s">
        <v>15</v>
      </c>
      <c r="G215" s="1" t="s">
        <v>16</v>
      </c>
      <c r="H215" s="1" t="s">
        <v>29</v>
      </c>
      <c r="I215" s="4">
        <v>2558.09</v>
      </c>
      <c r="J215" s="4">
        <v>2958.55</v>
      </c>
      <c r="K215">
        <v>45</v>
      </c>
      <c r="L215" s="3">
        <v>0.08</v>
      </c>
      <c r="M215" s="4">
        <v>115114.05</v>
      </c>
      <c r="N215" s="4">
        <v>133131.15</v>
      </c>
      <c r="O215" s="4">
        <v>18017.099999999999</v>
      </c>
      <c r="P215" s="3">
        <v>0.135333466284938</v>
      </c>
    </row>
    <row r="216" spans="1:16" x14ac:dyDescent="0.3">
      <c r="A216">
        <v>1002</v>
      </c>
      <c r="B216" s="2">
        <v>45219</v>
      </c>
      <c r="C216" s="1" t="s">
        <v>18</v>
      </c>
      <c r="D216" s="1" t="s">
        <v>30</v>
      </c>
      <c r="E216" s="1" t="s">
        <v>14</v>
      </c>
      <c r="F216" s="1" t="s">
        <v>20</v>
      </c>
      <c r="G216" s="1" t="s">
        <v>21</v>
      </c>
      <c r="H216" s="1" t="s">
        <v>17</v>
      </c>
      <c r="I216" s="4">
        <v>4646.55</v>
      </c>
      <c r="J216" s="4">
        <v>4784.28</v>
      </c>
      <c r="K216">
        <v>30</v>
      </c>
      <c r="L216" s="3">
        <v>0.1</v>
      </c>
      <c r="M216" s="4">
        <v>139396.5</v>
      </c>
      <c r="N216" s="4">
        <v>143525.4</v>
      </c>
      <c r="O216" s="4">
        <v>4128.8999999999996</v>
      </c>
      <c r="P216" s="3">
        <v>2.87677303111505E-2</v>
      </c>
    </row>
    <row r="217" spans="1:16" x14ac:dyDescent="0.3">
      <c r="A217">
        <v>1013</v>
      </c>
      <c r="B217" s="2">
        <v>45219</v>
      </c>
      <c r="C217" s="1" t="s">
        <v>18</v>
      </c>
      <c r="D217" s="1" t="s">
        <v>13</v>
      </c>
      <c r="E217" s="1" t="s">
        <v>28</v>
      </c>
      <c r="F217" s="1" t="s">
        <v>20</v>
      </c>
      <c r="G217" s="1" t="s">
        <v>21</v>
      </c>
      <c r="H217" s="1" t="s">
        <v>17</v>
      </c>
      <c r="I217" s="4">
        <v>1648.8</v>
      </c>
      <c r="J217" s="4">
        <v>1670.36</v>
      </c>
      <c r="K217">
        <v>46</v>
      </c>
      <c r="L217" s="3">
        <v>0.09</v>
      </c>
      <c r="M217" s="4">
        <v>75844.800000000003</v>
      </c>
      <c r="N217" s="4">
        <v>76832.42</v>
      </c>
      <c r="O217" s="4">
        <v>987.62</v>
      </c>
      <c r="P217" s="3">
        <v>1.28542091997102E-2</v>
      </c>
    </row>
    <row r="218" spans="1:16" x14ac:dyDescent="0.3">
      <c r="A218">
        <v>1036</v>
      </c>
      <c r="B218" s="2">
        <v>45219</v>
      </c>
      <c r="C218" s="1" t="s">
        <v>18</v>
      </c>
      <c r="D218" s="1" t="s">
        <v>30</v>
      </c>
      <c r="E218" s="1" t="s">
        <v>14</v>
      </c>
      <c r="F218" s="1" t="s">
        <v>15</v>
      </c>
      <c r="G218" s="1" t="s">
        <v>16</v>
      </c>
      <c r="H218" s="1" t="s">
        <v>29</v>
      </c>
      <c r="I218" s="4">
        <v>1247.0999999999999</v>
      </c>
      <c r="J218" s="4">
        <v>1429.44</v>
      </c>
      <c r="K218">
        <v>49</v>
      </c>
      <c r="L218" s="3">
        <v>0.16</v>
      </c>
      <c r="M218" s="4">
        <v>61107.9</v>
      </c>
      <c r="N218" s="4">
        <v>70034.720000000001</v>
      </c>
      <c r="O218" s="4">
        <v>8926.82</v>
      </c>
      <c r="P218" s="3">
        <v>0.127462778461883</v>
      </c>
    </row>
    <row r="219" spans="1:16" x14ac:dyDescent="0.3">
      <c r="A219">
        <v>1043</v>
      </c>
      <c r="B219" s="2">
        <v>45219</v>
      </c>
      <c r="C219" s="1" t="s">
        <v>31</v>
      </c>
      <c r="D219" s="1" t="s">
        <v>27</v>
      </c>
      <c r="E219" s="1" t="s">
        <v>22</v>
      </c>
      <c r="F219" s="1" t="s">
        <v>20</v>
      </c>
      <c r="G219" s="1" t="s">
        <v>25</v>
      </c>
      <c r="H219" s="1" t="s">
        <v>17</v>
      </c>
      <c r="I219" s="4">
        <v>530.04</v>
      </c>
      <c r="J219" s="4">
        <v>759.32</v>
      </c>
      <c r="K219">
        <v>22</v>
      </c>
      <c r="L219" s="3">
        <v>0.17</v>
      </c>
      <c r="M219" s="4">
        <v>11660.88</v>
      </c>
      <c r="N219" s="4">
        <v>16701.3</v>
      </c>
      <c r="O219" s="4">
        <v>5040.42</v>
      </c>
      <c r="P219" s="3">
        <v>0.30179806362379002</v>
      </c>
    </row>
    <row r="220" spans="1:16" x14ac:dyDescent="0.3">
      <c r="A220">
        <v>1048</v>
      </c>
      <c r="B220" s="2">
        <v>45219</v>
      </c>
      <c r="C220" s="1" t="s">
        <v>26</v>
      </c>
      <c r="D220" s="1" t="s">
        <v>27</v>
      </c>
      <c r="E220" s="1" t="s">
        <v>28</v>
      </c>
      <c r="F220" s="1" t="s">
        <v>15</v>
      </c>
      <c r="G220" s="1" t="s">
        <v>25</v>
      </c>
      <c r="H220" s="1" t="s">
        <v>17</v>
      </c>
      <c r="I220" s="4">
        <v>3717.3</v>
      </c>
      <c r="J220" s="4">
        <v>4061.37</v>
      </c>
      <c r="K220">
        <v>6</v>
      </c>
      <c r="L220" s="3">
        <v>0.03</v>
      </c>
      <c r="M220" s="4">
        <v>22303.8</v>
      </c>
      <c r="N220" s="4">
        <v>24368.04</v>
      </c>
      <c r="O220" s="4">
        <v>2064.2399999999998</v>
      </c>
      <c r="P220" s="3">
        <v>8.4710957467239903E-2</v>
      </c>
    </row>
    <row r="221" spans="1:16" x14ac:dyDescent="0.3">
      <c r="A221">
        <v>1086</v>
      </c>
      <c r="B221" s="2">
        <v>45219</v>
      </c>
      <c r="C221" s="1" t="s">
        <v>18</v>
      </c>
      <c r="D221" s="1" t="s">
        <v>27</v>
      </c>
      <c r="E221" s="1" t="s">
        <v>24</v>
      </c>
      <c r="F221" s="1" t="s">
        <v>20</v>
      </c>
      <c r="G221" s="1" t="s">
        <v>21</v>
      </c>
      <c r="H221" s="1" t="s">
        <v>17</v>
      </c>
      <c r="I221" s="4">
        <v>84.86</v>
      </c>
      <c r="J221" s="4">
        <v>517.17999999999995</v>
      </c>
      <c r="K221">
        <v>32</v>
      </c>
      <c r="L221" s="3">
        <v>0.2</v>
      </c>
      <c r="M221" s="4">
        <v>2715.52</v>
      </c>
      <c r="N221" s="4">
        <v>16543.36</v>
      </c>
      <c r="O221" s="4">
        <v>13827.84</v>
      </c>
      <c r="P221" s="3">
        <v>0.83585438508259502</v>
      </c>
    </row>
    <row r="222" spans="1:16" x14ac:dyDescent="0.3">
      <c r="A222">
        <v>1096</v>
      </c>
      <c r="B222" s="2">
        <v>45219</v>
      </c>
      <c r="C222" s="1" t="s">
        <v>18</v>
      </c>
      <c r="D222" s="1" t="s">
        <v>27</v>
      </c>
      <c r="E222" s="1" t="s">
        <v>14</v>
      </c>
      <c r="F222" s="1" t="s">
        <v>20</v>
      </c>
      <c r="G222" s="1" t="s">
        <v>16</v>
      </c>
      <c r="H222" s="1" t="s">
        <v>17</v>
      </c>
      <c r="I222" s="4">
        <v>2927.02</v>
      </c>
      <c r="J222" s="4">
        <v>3387.21</v>
      </c>
      <c r="K222">
        <v>10</v>
      </c>
      <c r="L222" s="3">
        <v>0.12</v>
      </c>
      <c r="M222" s="4">
        <v>29270.2</v>
      </c>
      <c r="N222" s="4">
        <v>33870.9</v>
      </c>
      <c r="O222" s="4">
        <v>4600.7</v>
      </c>
      <c r="P222" s="3">
        <v>0.135830462137115</v>
      </c>
    </row>
    <row r="223" spans="1:16" x14ac:dyDescent="0.3">
      <c r="A223">
        <v>1099</v>
      </c>
      <c r="B223" s="2">
        <v>45219</v>
      </c>
      <c r="C223" s="1" t="s">
        <v>18</v>
      </c>
      <c r="D223" s="1" t="s">
        <v>27</v>
      </c>
      <c r="E223" s="1" t="s">
        <v>14</v>
      </c>
      <c r="F223" s="1" t="s">
        <v>20</v>
      </c>
      <c r="G223" s="1" t="s">
        <v>25</v>
      </c>
      <c r="H223" s="1" t="s">
        <v>17</v>
      </c>
      <c r="I223" s="4">
        <v>93.45</v>
      </c>
      <c r="J223" s="4">
        <v>181.62</v>
      </c>
      <c r="K223">
        <v>23</v>
      </c>
      <c r="L223" s="3">
        <v>0.3</v>
      </c>
      <c r="M223" s="4">
        <v>2149.35</v>
      </c>
      <c r="N223" s="4">
        <v>4170.3599999999997</v>
      </c>
      <c r="O223" s="4">
        <v>2021.01</v>
      </c>
      <c r="P223" s="3">
        <v>0.484612839179351</v>
      </c>
    </row>
    <row r="224" spans="1:16" x14ac:dyDescent="0.3">
      <c r="A224">
        <v>1049</v>
      </c>
      <c r="B224" s="2">
        <v>45218</v>
      </c>
      <c r="C224" s="1" t="s">
        <v>12</v>
      </c>
      <c r="D224" s="1" t="s">
        <v>27</v>
      </c>
      <c r="E224" s="1" t="s">
        <v>14</v>
      </c>
      <c r="F224" s="1" t="s">
        <v>15</v>
      </c>
      <c r="G224" s="1" t="s">
        <v>21</v>
      </c>
      <c r="H224" s="1" t="s">
        <v>29</v>
      </c>
      <c r="I224" s="4">
        <v>4697.4399999999996</v>
      </c>
      <c r="J224" s="4">
        <v>4752.24</v>
      </c>
      <c r="K224">
        <v>30</v>
      </c>
      <c r="L224" s="3">
        <v>0.28000000000000003</v>
      </c>
      <c r="M224" s="4">
        <v>140923.20000000001</v>
      </c>
      <c r="N224" s="4">
        <v>142558.79999999999</v>
      </c>
      <c r="O224" s="4">
        <v>1635.6</v>
      </c>
      <c r="P224" s="3">
        <v>1.14731605484895E-2</v>
      </c>
    </row>
    <row r="225" spans="1:16" x14ac:dyDescent="0.3">
      <c r="A225">
        <v>1089</v>
      </c>
      <c r="B225" s="2">
        <v>45218</v>
      </c>
      <c r="C225" s="1" t="s">
        <v>12</v>
      </c>
      <c r="D225" s="1" t="s">
        <v>19</v>
      </c>
      <c r="E225" s="1" t="s">
        <v>22</v>
      </c>
      <c r="F225" s="1" t="s">
        <v>20</v>
      </c>
      <c r="G225" s="1" t="s">
        <v>21</v>
      </c>
      <c r="H225" s="1" t="s">
        <v>17</v>
      </c>
      <c r="I225" s="4">
        <v>2120.54</v>
      </c>
      <c r="J225" s="4">
        <v>2597.67</v>
      </c>
      <c r="K225">
        <v>23</v>
      </c>
      <c r="L225" s="3">
        <v>0.26</v>
      </c>
      <c r="M225" s="4">
        <v>48772.42</v>
      </c>
      <c r="N225" s="4">
        <v>59740.43</v>
      </c>
      <c r="O225" s="4">
        <v>10968.01</v>
      </c>
      <c r="P225" s="3">
        <v>0.183594426755884</v>
      </c>
    </row>
    <row r="226" spans="1:16" x14ac:dyDescent="0.3">
      <c r="A226">
        <v>1059</v>
      </c>
      <c r="B226" s="2">
        <v>45217</v>
      </c>
      <c r="C226" s="1" t="s">
        <v>26</v>
      </c>
      <c r="D226" s="1" t="s">
        <v>30</v>
      </c>
      <c r="E226" s="1" t="s">
        <v>28</v>
      </c>
      <c r="F226" s="1" t="s">
        <v>20</v>
      </c>
      <c r="G226" s="1" t="s">
        <v>21</v>
      </c>
      <c r="H226" s="1" t="s">
        <v>29</v>
      </c>
      <c r="I226" s="4">
        <v>224.32</v>
      </c>
      <c r="J226" s="4">
        <v>715.06</v>
      </c>
      <c r="K226">
        <v>28</v>
      </c>
      <c r="L226" s="3">
        <v>0.01</v>
      </c>
      <c r="M226" s="4">
        <v>6280.96</v>
      </c>
      <c r="N226" s="4">
        <v>20021.400000000001</v>
      </c>
      <c r="O226" s="4">
        <v>13740.44</v>
      </c>
      <c r="P226" s="3">
        <v>0.68628767219075604</v>
      </c>
    </row>
    <row r="227" spans="1:16" x14ac:dyDescent="0.3">
      <c r="A227">
        <v>1088</v>
      </c>
      <c r="B227" s="2">
        <v>45217</v>
      </c>
      <c r="C227" s="1" t="s">
        <v>12</v>
      </c>
      <c r="D227" s="1" t="s">
        <v>19</v>
      </c>
      <c r="E227" s="1" t="s">
        <v>24</v>
      </c>
      <c r="F227" s="1" t="s">
        <v>15</v>
      </c>
      <c r="G227" s="1" t="s">
        <v>25</v>
      </c>
      <c r="H227" s="1" t="s">
        <v>17</v>
      </c>
      <c r="I227" s="4">
        <v>3016.9</v>
      </c>
      <c r="J227" s="4">
        <v>3040.73</v>
      </c>
      <c r="K227">
        <v>16</v>
      </c>
      <c r="L227" s="3">
        <v>0.26</v>
      </c>
      <c r="M227" s="4">
        <v>48270.400000000001</v>
      </c>
      <c r="N227" s="4">
        <v>48647.519999999997</v>
      </c>
      <c r="O227" s="4">
        <v>377.12</v>
      </c>
      <c r="P227" s="3">
        <v>7.7520909596213803E-3</v>
      </c>
    </row>
    <row r="228" spans="1:16" x14ac:dyDescent="0.3">
      <c r="A228">
        <v>1089</v>
      </c>
      <c r="B228" s="2">
        <v>45217</v>
      </c>
      <c r="C228" s="1" t="s">
        <v>18</v>
      </c>
      <c r="D228" s="1" t="s">
        <v>30</v>
      </c>
      <c r="E228" s="1" t="s">
        <v>22</v>
      </c>
      <c r="F228" s="1" t="s">
        <v>20</v>
      </c>
      <c r="G228" s="1" t="s">
        <v>21</v>
      </c>
      <c r="H228" s="1" t="s">
        <v>17</v>
      </c>
      <c r="I228" s="4">
        <v>3841.05</v>
      </c>
      <c r="J228" s="4">
        <v>4323.62</v>
      </c>
      <c r="K228">
        <v>15</v>
      </c>
      <c r="L228" s="3">
        <v>0.28999999999999998</v>
      </c>
      <c r="M228" s="4">
        <v>57615.75</v>
      </c>
      <c r="N228" s="4">
        <v>64849.95</v>
      </c>
      <c r="O228" s="4">
        <v>7234.2</v>
      </c>
      <c r="P228" s="3">
        <v>0.11155290019498899</v>
      </c>
    </row>
    <row r="229" spans="1:16" x14ac:dyDescent="0.3">
      <c r="A229">
        <v>1098</v>
      </c>
      <c r="B229" s="2">
        <v>45217</v>
      </c>
      <c r="C229" s="1" t="s">
        <v>12</v>
      </c>
      <c r="D229" s="1" t="s">
        <v>19</v>
      </c>
      <c r="E229" s="1" t="s">
        <v>24</v>
      </c>
      <c r="F229" s="1" t="s">
        <v>15</v>
      </c>
      <c r="G229" s="1" t="s">
        <v>25</v>
      </c>
      <c r="H229" s="1" t="s">
        <v>29</v>
      </c>
      <c r="I229" s="4">
        <v>725.03</v>
      </c>
      <c r="J229" s="4">
        <v>828.95</v>
      </c>
      <c r="K229">
        <v>21</v>
      </c>
      <c r="L229" s="3">
        <v>0.18</v>
      </c>
      <c r="M229" s="4">
        <v>15225.63</v>
      </c>
      <c r="N229" s="4">
        <v>17404.169999999998</v>
      </c>
      <c r="O229" s="4">
        <v>2178.54</v>
      </c>
      <c r="P229" s="3">
        <v>0.12517344981116599</v>
      </c>
    </row>
    <row r="230" spans="1:16" x14ac:dyDescent="0.3">
      <c r="A230">
        <v>1015</v>
      </c>
      <c r="B230" s="2">
        <v>45215</v>
      </c>
      <c r="C230" s="1" t="s">
        <v>31</v>
      </c>
      <c r="D230" s="1" t="s">
        <v>30</v>
      </c>
      <c r="E230" s="1" t="s">
        <v>22</v>
      </c>
      <c r="F230" s="1" t="s">
        <v>20</v>
      </c>
      <c r="G230" s="1" t="s">
        <v>16</v>
      </c>
      <c r="H230" s="1" t="s">
        <v>17</v>
      </c>
      <c r="I230" s="4">
        <v>2937.94</v>
      </c>
      <c r="J230" s="4">
        <v>3007.53</v>
      </c>
      <c r="K230">
        <v>23</v>
      </c>
      <c r="L230" s="3">
        <v>0.03</v>
      </c>
      <c r="M230" s="4">
        <v>67572.62</v>
      </c>
      <c r="N230" s="4">
        <v>69172.5</v>
      </c>
      <c r="O230" s="4">
        <v>1599.88</v>
      </c>
      <c r="P230" s="3">
        <v>2.3128844555278499E-2</v>
      </c>
    </row>
    <row r="231" spans="1:16" x14ac:dyDescent="0.3">
      <c r="A231">
        <v>1016</v>
      </c>
      <c r="B231" s="2">
        <v>45215</v>
      </c>
      <c r="C231" s="1" t="s">
        <v>12</v>
      </c>
      <c r="D231" s="1" t="s">
        <v>19</v>
      </c>
      <c r="E231" s="1" t="s">
        <v>28</v>
      </c>
      <c r="F231" s="1" t="s">
        <v>20</v>
      </c>
      <c r="G231" s="1" t="s">
        <v>21</v>
      </c>
      <c r="H231" s="1" t="s">
        <v>17</v>
      </c>
      <c r="I231" s="4">
        <v>3094.57</v>
      </c>
      <c r="J231" s="4">
        <v>3565.6</v>
      </c>
      <c r="K231">
        <v>11</v>
      </c>
      <c r="L231" s="3">
        <v>0.1</v>
      </c>
      <c r="M231" s="4">
        <v>34040.269999999997</v>
      </c>
      <c r="N231" s="4">
        <v>39220.5</v>
      </c>
      <c r="O231" s="4">
        <v>5180.2299999999996</v>
      </c>
      <c r="P231" s="3">
        <v>0.13207965222269</v>
      </c>
    </row>
    <row r="232" spans="1:16" x14ac:dyDescent="0.3">
      <c r="A232">
        <v>1051</v>
      </c>
      <c r="B232" s="2">
        <v>45215</v>
      </c>
      <c r="C232" s="1" t="s">
        <v>26</v>
      </c>
      <c r="D232" s="1" t="s">
        <v>19</v>
      </c>
      <c r="E232" s="1" t="s">
        <v>14</v>
      </c>
      <c r="F232" s="1" t="s">
        <v>20</v>
      </c>
      <c r="G232" s="1" t="s">
        <v>25</v>
      </c>
      <c r="H232" s="1" t="s">
        <v>29</v>
      </c>
      <c r="I232" s="4">
        <v>287.99</v>
      </c>
      <c r="J232" s="4">
        <v>666.64</v>
      </c>
      <c r="K232">
        <v>43</v>
      </c>
      <c r="L232" s="3">
        <v>0</v>
      </c>
      <c r="M232" s="4">
        <v>12383.57</v>
      </c>
      <c r="N232" s="4">
        <v>28665.52</v>
      </c>
      <c r="O232" s="4">
        <v>16281.95</v>
      </c>
      <c r="P232" s="3">
        <v>0.56799771990879599</v>
      </c>
    </row>
    <row r="233" spans="1:16" x14ac:dyDescent="0.3">
      <c r="A233">
        <v>1053</v>
      </c>
      <c r="B233" s="2">
        <v>45215</v>
      </c>
      <c r="C233" s="1" t="s">
        <v>23</v>
      </c>
      <c r="D233" s="1" t="s">
        <v>30</v>
      </c>
      <c r="E233" s="1" t="s">
        <v>24</v>
      </c>
      <c r="F233" s="1" t="s">
        <v>15</v>
      </c>
      <c r="G233" s="1" t="s">
        <v>16</v>
      </c>
      <c r="H233" s="1" t="s">
        <v>17</v>
      </c>
      <c r="I233" s="4">
        <v>121.19</v>
      </c>
      <c r="J233" s="4">
        <v>487.65</v>
      </c>
      <c r="K233">
        <v>48</v>
      </c>
      <c r="L233" s="3">
        <v>0.18</v>
      </c>
      <c r="M233" s="4">
        <v>5817.12</v>
      </c>
      <c r="N233" s="4">
        <v>23398.560000000001</v>
      </c>
      <c r="O233" s="4">
        <v>17581.439999999999</v>
      </c>
      <c r="P233" s="3">
        <v>0.75138982911768903</v>
      </c>
    </row>
    <row r="234" spans="1:16" x14ac:dyDescent="0.3">
      <c r="A234">
        <v>1055</v>
      </c>
      <c r="B234" s="2">
        <v>45215</v>
      </c>
      <c r="C234" s="1" t="s">
        <v>18</v>
      </c>
      <c r="D234" s="1" t="s">
        <v>13</v>
      </c>
      <c r="E234" s="1" t="s">
        <v>14</v>
      </c>
      <c r="F234" s="1" t="s">
        <v>20</v>
      </c>
      <c r="G234" s="1" t="s">
        <v>25</v>
      </c>
      <c r="H234" s="1" t="s">
        <v>17</v>
      </c>
      <c r="I234" s="4">
        <v>4173.5200000000004</v>
      </c>
      <c r="J234" s="4">
        <v>4294.8500000000004</v>
      </c>
      <c r="K234">
        <v>46</v>
      </c>
      <c r="L234" s="3">
        <v>0.03</v>
      </c>
      <c r="M234" s="4">
        <v>191981.92</v>
      </c>
      <c r="N234" s="4">
        <v>197561.72</v>
      </c>
      <c r="O234" s="4">
        <v>5579.8</v>
      </c>
      <c r="P234" s="3">
        <v>2.8243325680703701E-2</v>
      </c>
    </row>
    <row r="235" spans="1:16" x14ac:dyDescent="0.3">
      <c r="A235">
        <v>1061</v>
      </c>
      <c r="B235" s="2">
        <v>45215</v>
      </c>
      <c r="C235" s="1" t="s">
        <v>12</v>
      </c>
      <c r="D235" s="1" t="s">
        <v>13</v>
      </c>
      <c r="E235" s="1" t="s">
        <v>24</v>
      </c>
      <c r="F235" s="1" t="s">
        <v>20</v>
      </c>
      <c r="G235" s="1" t="s">
        <v>16</v>
      </c>
      <c r="H235" s="1" t="s">
        <v>17</v>
      </c>
      <c r="I235" s="4">
        <v>4651.7700000000004</v>
      </c>
      <c r="J235" s="4">
        <v>4984.3900000000003</v>
      </c>
      <c r="K235">
        <v>37</v>
      </c>
      <c r="L235" s="3">
        <v>0.12</v>
      </c>
      <c r="M235" s="4">
        <v>172115.49</v>
      </c>
      <c r="N235" s="4">
        <v>184417.99</v>
      </c>
      <c r="O235" s="4">
        <v>12302.5</v>
      </c>
      <c r="P235" s="3">
        <v>6.6709869248656295E-2</v>
      </c>
    </row>
    <row r="236" spans="1:16" x14ac:dyDescent="0.3">
      <c r="A236">
        <v>1063</v>
      </c>
      <c r="B236" s="2">
        <v>45215</v>
      </c>
      <c r="C236" s="1" t="s">
        <v>31</v>
      </c>
      <c r="D236" s="1" t="s">
        <v>30</v>
      </c>
      <c r="E236" s="1" t="s">
        <v>14</v>
      </c>
      <c r="F236" s="1" t="s">
        <v>15</v>
      </c>
      <c r="G236" s="1" t="s">
        <v>25</v>
      </c>
      <c r="H236" s="1" t="s">
        <v>17</v>
      </c>
      <c r="I236" s="4">
        <v>1134.67</v>
      </c>
      <c r="J236" s="4">
        <v>1201.3900000000001</v>
      </c>
      <c r="K236">
        <v>4</v>
      </c>
      <c r="L236" s="3">
        <v>0.3</v>
      </c>
      <c r="M236" s="4">
        <v>4538.68</v>
      </c>
      <c r="N236" s="4">
        <v>4804.3599999999997</v>
      </c>
      <c r="O236" s="4">
        <v>265.68</v>
      </c>
      <c r="P236" s="3">
        <v>5.5299769376149999E-2</v>
      </c>
    </row>
    <row r="237" spans="1:16" x14ac:dyDescent="0.3">
      <c r="A237">
        <v>1025</v>
      </c>
      <c r="B237" s="2">
        <v>45214</v>
      </c>
      <c r="C237" s="1" t="s">
        <v>18</v>
      </c>
      <c r="D237" s="1" t="s">
        <v>30</v>
      </c>
      <c r="E237" s="1" t="s">
        <v>22</v>
      </c>
      <c r="F237" s="1" t="s">
        <v>15</v>
      </c>
      <c r="G237" s="1" t="s">
        <v>21</v>
      </c>
      <c r="H237" s="1" t="s">
        <v>17</v>
      </c>
      <c r="I237" s="4">
        <v>1485.72</v>
      </c>
      <c r="J237" s="4">
        <v>1717.97</v>
      </c>
      <c r="K237">
        <v>44</v>
      </c>
      <c r="L237" s="3">
        <v>0.02</v>
      </c>
      <c r="M237" s="4">
        <v>65371.68</v>
      </c>
      <c r="N237" s="4">
        <v>75589.8</v>
      </c>
      <c r="O237" s="4">
        <v>10218.120000000001</v>
      </c>
      <c r="P237" s="3">
        <v>0.135178555836899</v>
      </c>
    </row>
    <row r="238" spans="1:16" x14ac:dyDescent="0.3">
      <c r="A238">
        <v>1035</v>
      </c>
      <c r="B238" s="2">
        <v>45214</v>
      </c>
      <c r="C238" s="1" t="s">
        <v>18</v>
      </c>
      <c r="D238" s="1" t="s">
        <v>30</v>
      </c>
      <c r="E238" s="1" t="s">
        <v>24</v>
      </c>
      <c r="F238" s="1" t="s">
        <v>15</v>
      </c>
      <c r="G238" s="1" t="s">
        <v>21</v>
      </c>
      <c r="H238" s="1" t="s">
        <v>29</v>
      </c>
      <c r="I238" s="4">
        <v>610.83000000000004</v>
      </c>
      <c r="J238" s="4">
        <v>808.69</v>
      </c>
      <c r="K238">
        <v>1</v>
      </c>
      <c r="L238" s="3">
        <v>0.22</v>
      </c>
      <c r="M238" s="4">
        <v>610.83000000000004</v>
      </c>
      <c r="N238" s="4">
        <v>808.47</v>
      </c>
      <c r="O238" s="4">
        <v>197.64</v>
      </c>
      <c r="P238" s="3">
        <v>0.24446176110430801</v>
      </c>
    </row>
    <row r="239" spans="1:16" x14ac:dyDescent="0.3">
      <c r="A239">
        <v>1038</v>
      </c>
      <c r="B239" s="2">
        <v>45214</v>
      </c>
      <c r="C239" s="1" t="s">
        <v>18</v>
      </c>
      <c r="D239" s="1" t="s">
        <v>19</v>
      </c>
      <c r="E239" s="1" t="s">
        <v>14</v>
      </c>
      <c r="F239" s="1" t="s">
        <v>15</v>
      </c>
      <c r="G239" s="1" t="s">
        <v>16</v>
      </c>
      <c r="H239" s="1" t="s">
        <v>17</v>
      </c>
      <c r="I239" s="4">
        <v>2709.84</v>
      </c>
      <c r="J239" s="4">
        <v>2766.51</v>
      </c>
      <c r="K239">
        <v>31</v>
      </c>
      <c r="L239" s="3">
        <v>0.19</v>
      </c>
      <c r="M239" s="4">
        <v>84005.04</v>
      </c>
      <c r="N239" s="4">
        <v>85755.92</v>
      </c>
      <c r="O239" s="4">
        <v>1750.88</v>
      </c>
      <c r="P239" s="3">
        <v>2.0417016108042502E-2</v>
      </c>
    </row>
    <row r="240" spans="1:16" x14ac:dyDescent="0.3">
      <c r="A240">
        <v>1048</v>
      </c>
      <c r="B240" s="2">
        <v>45214</v>
      </c>
      <c r="C240" s="1" t="s">
        <v>31</v>
      </c>
      <c r="D240" s="1" t="s">
        <v>30</v>
      </c>
      <c r="E240" s="1" t="s">
        <v>28</v>
      </c>
      <c r="F240" s="1" t="s">
        <v>20</v>
      </c>
      <c r="G240" s="1" t="s">
        <v>21</v>
      </c>
      <c r="H240" s="1" t="s">
        <v>17</v>
      </c>
      <c r="I240" s="4">
        <v>3139.99</v>
      </c>
      <c r="J240" s="4">
        <v>3349.37</v>
      </c>
      <c r="K240">
        <v>42</v>
      </c>
      <c r="L240" s="3">
        <v>0.13</v>
      </c>
      <c r="M240" s="4">
        <v>131879.57999999999</v>
      </c>
      <c r="N240" s="4">
        <v>140668.07999999999</v>
      </c>
      <c r="O240" s="4">
        <v>8788.5</v>
      </c>
      <c r="P240" s="3">
        <v>6.2476860422065898E-2</v>
      </c>
    </row>
    <row r="241" spans="1:16" x14ac:dyDescent="0.3">
      <c r="A241">
        <v>1069</v>
      </c>
      <c r="B241" s="2">
        <v>45214</v>
      </c>
      <c r="C241" s="1" t="s">
        <v>23</v>
      </c>
      <c r="D241" s="1" t="s">
        <v>19</v>
      </c>
      <c r="E241" s="1" t="s">
        <v>22</v>
      </c>
      <c r="F241" s="1" t="s">
        <v>15</v>
      </c>
      <c r="G241" s="1" t="s">
        <v>16</v>
      </c>
      <c r="H241" s="1" t="s">
        <v>29</v>
      </c>
      <c r="I241" s="4">
        <v>3663.51</v>
      </c>
      <c r="J241" s="4">
        <v>4007.98</v>
      </c>
      <c r="K241">
        <v>46</v>
      </c>
      <c r="L241" s="3">
        <v>0.13</v>
      </c>
      <c r="M241" s="4">
        <v>168521.46</v>
      </c>
      <c r="N241" s="4">
        <v>184361.1</v>
      </c>
      <c r="O241" s="4">
        <v>15839.64</v>
      </c>
      <c r="P241" s="3">
        <v>8.5916389086417896E-2</v>
      </c>
    </row>
    <row r="242" spans="1:16" x14ac:dyDescent="0.3">
      <c r="A242">
        <v>1090</v>
      </c>
      <c r="B242" s="2">
        <v>45214</v>
      </c>
      <c r="C242" s="1" t="s">
        <v>31</v>
      </c>
      <c r="D242" s="1" t="s">
        <v>27</v>
      </c>
      <c r="E242" s="1" t="s">
        <v>28</v>
      </c>
      <c r="F242" s="1" t="s">
        <v>20</v>
      </c>
      <c r="G242" s="1" t="s">
        <v>25</v>
      </c>
      <c r="H242" s="1" t="s">
        <v>29</v>
      </c>
      <c r="I242" s="4">
        <v>4766.53</v>
      </c>
      <c r="J242" s="4">
        <v>5253.07</v>
      </c>
      <c r="K242">
        <v>48</v>
      </c>
      <c r="L242" s="3">
        <v>0.01</v>
      </c>
      <c r="M242" s="4">
        <v>228793.44</v>
      </c>
      <c r="N242" s="4">
        <v>252146.88</v>
      </c>
      <c r="O242" s="4">
        <v>23353.439999999999</v>
      </c>
      <c r="P242" s="3">
        <v>9.2618397657746099E-2</v>
      </c>
    </row>
    <row r="243" spans="1:16" x14ac:dyDescent="0.3">
      <c r="A243">
        <v>1099</v>
      </c>
      <c r="B243" s="2">
        <v>45214</v>
      </c>
      <c r="C243" s="1" t="s">
        <v>18</v>
      </c>
      <c r="D243" s="1" t="s">
        <v>13</v>
      </c>
      <c r="E243" s="1" t="s">
        <v>28</v>
      </c>
      <c r="F243" s="1" t="s">
        <v>15</v>
      </c>
      <c r="G243" s="1" t="s">
        <v>16</v>
      </c>
      <c r="H243" s="1" t="s">
        <v>29</v>
      </c>
      <c r="I243" s="4">
        <v>3592.89</v>
      </c>
      <c r="J243" s="4">
        <v>4004</v>
      </c>
      <c r="K243">
        <v>39</v>
      </c>
      <c r="L243" s="3">
        <v>0.13</v>
      </c>
      <c r="M243" s="4">
        <v>140122.71</v>
      </c>
      <c r="N243" s="4">
        <v>156150.93</v>
      </c>
      <c r="O243" s="4">
        <v>16028.22</v>
      </c>
      <c r="P243" s="3">
        <v>0.10264569029464</v>
      </c>
    </row>
    <row r="244" spans="1:16" x14ac:dyDescent="0.3">
      <c r="A244">
        <v>1002</v>
      </c>
      <c r="B244" s="2">
        <v>45213</v>
      </c>
      <c r="C244" s="1" t="s">
        <v>18</v>
      </c>
      <c r="D244" s="1" t="s">
        <v>27</v>
      </c>
      <c r="E244" s="1" t="s">
        <v>14</v>
      </c>
      <c r="F244" s="1" t="s">
        <v>15</v>
      </c>
      <c r="G244" s="1" t="s">
        <v>25</v>
      </c>
      <c r="H244" s="1" t="s">
        <v>29</v>
      </c>
      <c r="I244" s="4">
        <v>1004.71</v>
      </c>
      <c r="J244" s="4">
        <v>1389.35</v>
      </c>
      <c r="K244">
        <v>39</v>
      </c>
      <c r="L244" s="3">
        <v>0.24</v>
      </c>
      <c r="M244" s="4">
        <v>39183.69</v>
      </c>
      <c r="N244" s="4">
        <v>54175.29</v>
      </c>
      <c r="O244" s="4">
        <v>14991.6</v>
      </c>
      <c r="P244" s="3">
        <v>0.276723945547869</v>
      </c>
    </row>
    <row r="245" spans="1:16" x14ac:dyDescent="0.3">
      <c r="A245">
        <v>1076</v>
      </c>
      <c r="B245" s="2">
        <v>45213</v>
      </c>
      <c r="C245" s="1" t="s">
        <v>31</v>
      </c>
      <c r="D245" s="1" t="s">
        <v>27</v>
      </c>
      <c r="E245" s="1" t="s">
        <v>22</v>
      </c>
      <c r="F245" s="1" t="s">
        <v>20</v>
      </c>
      <c r="G245" s="1" t="s">
        <v>25</v>
      </c>
      <c r="H245" s="1" t="s">
        <v>29</v>
      </c>
      <c r="I245" s="4">
        <v>1727.78</v>
      </c>
      <c r="J245" s="4">
        <v>1984.34</v>
      </c>
      <c r="K245">
        <v>23</v>
      </c>
      <c r="L245" s="3">
        <v>0.24</v>
      </c>
      <c r="M245" s="4">
        <v>39738.94</v>
      </c>
      <c r="N245" s="4">
        <v>45634.3</v>
      </c>
      <c r="O245" s="4">
        <v>5895.36</v>
      </c>
      <c r="P245" s="3">
        <v>0.12918703694370201</v>
      </c>
    </row>
    <row r="246" spans="1:16" x14ac:dyDescent="0.3">
      <c r="A246">
        <v>1008</v>
      </c>
      <c r="B246" s="2">
        <v>45212</v>
      </c>
      <c r="C246" s="1" t="s">
        <v>12</v>
      </c>
      <c r="D246" s="1" t="s">
        <v>19</v>
      </c>
      <c r="E246" s="1" t="s">
        <v>28</v>
      </c>
      <c r="F246" s="1" t="s">
        <v>20</v>
      </c>
      <c r="G246" s="1" t="s">
        <v>25</v>
      </c>
      <c r="H246" s="1" t="s">
        <v>17</v>
      </c>
      <c r="I246" s="4">
        <v>1542.24</v>
      </c>
      <c r="J246" s="4">
        <v>1739.45</v>
      </c>
      <c r="K246">
        <v>24</v>
      </c>
      <c r="L246" s="3">
        <v>0.21</v>
      </c>
      <c r="M246" s="4">
        <v>37013.760000000002</v>
      </c>
      <c r="N246" s="4">
        <v>41741.760000000002</v>
      </c>
      <c r="O246" s="4">
        <v>4728</v>
      </c>
      <c r="P246" s="3">
        <v>0.11326786412456</v>
      </c>
    </row>
    <row r="247" spans="1:16" x14ac:dyDescent="0.3">
      <c r="A247">
        <v>1099</v>
      </c>
      <c r="B247" s="2">
        <v>45212</v>
      </c>
      <c r="C247" s="1" t="s">
        <v>31</v>
      </c>
      <c r="D247" s="1" t="s">
        <v>30</v>
      </c>
      <c r="E247" s="1" t="s">
        <v>22</v>
      </c>
      <c r="F247" s="1" t="s">
        <v>20</v>
      </c>
      <c r="G247" s="1" t="s">
        <v>21</v>
      </c>
      <c r="H247" s="1" t="s">
        <v>29</v>
      </c>
      <c r="I247" s="4">
        <v>1996.64</v>
      </c>
      <c r="J247" s="4">
        <v>2341.4699999999998</v>
      </c>
      <c r="K247">
        <v>14</v>
      </c>
      <c r="L247" s="3">
        <v>0.22</v>
      </c>
      <c r="M247" s="4">
        <v>27952.959999999999</v>
      </c>
      <c r="N247" s="4">
        <v>32777.5</v>
      </c>
      <c r="O247" s="4">
        <v>4824.54</v>
      </c>
      <c r="P247" s="3">
        <v>0.14719060331019801</v>
      </c>
    </row>
    <row r="248" spans="1:16" x14ac:dyDescent="0.3">
      <c r="A248">
        <v>1010</v>
      </c>
      <c r="B248" s="2">
        <v>45211</v>
      </c>
      <c r="C248" s="1" t="s">
        <v>31</v>
      </c>
      <c r="D248" s="1" t="s">
        <v>30</v>
      </c>
      <c r="E248" s="1" t="s">
        <v>24</v>
      </c>
      <c r="F248" s="1" t="s">
        <v>20</v>
      </c>
      <c r="G248" s="1" t="s">
        <v>16</v>
      </c>
      <c r="H248" s="1" t="s">
        <v>29</v>
      </c>
      <c r="I248" s="4">
        <v>4298.74</v>
      </c>
      <c r="J248" s="4">
        <v>4475.1899999999996</v>
      </c>
      <c r="K248">
        <v>20</v>
      </c>
      <c r="L248" s="3">
        <v>0.16</v>
      </c>
      <c r="M248" s="4">
        <v>85974.8</v>
      </c>
      <c r="N248" s="4">
        <v>89500.6</v>
      </c>
      <c r="O248" s="4">
        <v>3525.8</v>
      </c>
      <c r="P248" s="3">
        <v>3.9394149312965497E-2</v>
      </c>
    </row>
    <row r="249" spans="1:16" x14ac:dyDescent="0.3">
      <c r="A249">
        <v>1019</v>
      </c>
      <c r="B249" s="2">
        <v>45211</v>
      </c>
      <c r="C249" s="1" t="s">
        <v>31</v>
      </c>
      <c r="D249" s="1" t="s">
        <v>19</v>
      </c>
      <c r="E249" s="1" t="s">
        <v>14</v>
      </c>
      <c r="F249" s="1" t="s">
        <v>15</v>
      </c>
      <c r="G249" s="1" t="s">
        <v>21</v>
      </c>
      <c r="H249" s="1" t="s">
        <v>29</v>
      </c>
      <c r="I249" s="4">
        <v>4977.78</v>
      </c>
      <c r="J249" s="4">
        <v>4995.55</v>
      </c>
      <c r="K249">
        <v>16</v>
      </c>
      <c r="L249" s="3">
        <v>0.25</v>
      </c>
      <c r="M249" s="4">
        <v>79644.479999999996</v>
      </c>
      <c r="N249" s="4">
        <v>79924.800000000003</v>
      </c>
      <c r="O249" s="4">
        <v>280.32</v>
      </c>
      <c r="P249" s="3">
        <v>3.5072968590474998E-3</v>
      </c>
    </row>
    <row r="250" spans="1:16" x14ac:dyDescent="0.3">
      <c r="A250">
        <v>1032</v>
      </c>
      <c r="B250" s="2">
        <v>45211</v>
      </c>
      <c r="C250" s="1" t="s">
        <v>26</v>
      </c>
      <c r="D250" s="1" t="s">
        <v>30</v>
      </c>
      <c r="E250" s="1" t="s">
        <v>14</v>
      </c>
      <c r="F250" s="1" t="s">
        <v>20</v>
      </c>
      <c r="G250" s="1" t="s">
        <v>21</v>
      </c>
      <c r="H250" s="1" t="s">
        <v>17</v>
      </c>
      <c r="I250" s="4">
        <v>1291.9100000000001</v>
      </c>
      <c r="J250" s="4">
        <v>1528.59</v>
      </c>
      <c r="K250">
        <v>17</v>
      </c>
      <c r="L250" s="3">
        <v>0.11</v>
      </c>
      <c r="M250" s="4">
        <v>21962.47</v>
      </c>
      <c r="N250" s="4">
        <v>25984.16</v>
      </c>
      <c r="O250" s="4">
        <v>4021.69</v>
      </c>
      <c r="P250" s="3">
        <v>0.15477467811158799</v>
      </c>
    </row>
    <row r="251" spans="1:16" x14ac:dyDescent="0.3">
      <c r="A251">
        <v>1052</v>
      </c>
      <c r="B251" s="2">
        <v>45211</v>
      </c>
      <c r="C251" s="1" t="s">
        <v>18</v>
      </c>
      <c r="D251" s="1" t="s">
        <v>30</v>
      </c>
      <c r="E251" s="1" t="s">
        <v>28</v>
      </c>
      <c r="F251" s="1" t="s">
        <v>20</v>
      </c>
      <c r="G251" s="1" t="s">
        <v>16</v>
      </c>
      <c r="H251" s="1" t="s">
        <v>17</v>
      </c>
      <c r="I251" s="4">
        <v>3136.42</v>
      </c>
      <c r="J251" s="4">
        <v>3198.49</v>
      </c>
      <c r="K251">
        <v>46</v>
      </c>
      <c r="L251" s="3">
        <v>0.28999999999999998</v>
      </c>
      <c r="M251" s="4">
        <v>144275.32</v>
      </c>
      <c r="N251" s="4">
        <v>147117.20000000001</v>
      </c>
      <c r="O251" s="4">
        <v>2841.88</v>
      </c>
      <c r="P251" s="3">
        <v>1.9317115877681201E-2</v>
      </c>
    </row>
    <row r="252" spans="1:16" x14ac:dyDescent="0.3">
      <c r="A252">
        <v>1077</v>
      </c>
      <c r="B252" s="2">
        <v>45211</v>
      </c>
      <c r="C252" s="1" t="s">
        <v>18</v>
      </c>
      <c r="D252" s="1" t="s">
        <v>27</v>
      </c>
      <c r="E252" s="1" t="s">
        <v>28</v>
      </c>
      <c r="F252" s="1" t="s">
        <v>20</v>
      </c>
      <c r="G252" s="1" t="s">
        <v>21</v>
      </c>
      <c r="H252" s="1" t="s">
        <v>29</v>
      </c>
      <c r="I252" s="4">
        <v>557.52</v>
      </c>
      <c r="J252" s="4">
        <v>822.39</v>
      </c>
      <c r="K252">
        <v>23</v>
      </c>
      <c r="L252" s="3">
        <v>0.28999999999999998</v>
      </c>
      <c r="M252" s="4">
        <v>12822.96</v>
      </c>
      <c r="N252" s="4">
        <v>18908.3</v>
      </c>
      <c r="O252" s="4">
        <v>6085.34</v>
      </c>
      <c r="P252" s="3">
        <v>0.321834326724243</v>
      </c>
    </row>
    <row r="253" spans="1:16" x14ac:dyDescent="0.3">
      <c r="A253">
        <v>1089</v>
      </c>
      <c r="B253" s="2">
        <v>45211</v>
      </c>
      <c r="C253" s="1" t="s">
        <v>18</v>
      </c>
      <c r="D253" s="1" t="s">
        <v>27</v>
      </c>
      <c r="E253" s="1" t="s">
        <v>24</v>
      </c>
      <c r="F253" s="1" t="s">
        <v>20</v>
      </c>
      <c r="G253" s="1" t="s">
        <v>21</v>
      </c>
      <c r="H253" s="1" t="s">
        <v>17</v>
      </c>
      <c r="I253" s="4">
        <v>3512.69</v>
      </c>
      <c r="J253" s="4">
        <v>3964.63</v>
      </c>
      <c r="K253">
        <v>25</v>
      </c>
      <c r="L253" s="3">
        <v>0.03</v>
      </c>
      <c r="M253" s="4">
        <v>87817.25</v>
      </c>
      <c r="N253" s="4">
        <v>99115</v>
      </c>
      <c r="O253" s="4">
        <v>11297.75</v>
      </c>
      <c r="P253" s="3">
        <v>0.113986278565303</v>
      </c>
    </row>
    <row r="254" spans="1:16" x14ac:dyDescent="0.3">
      <c r="A254">
        <v>1019</v>
      </c>
      <c r="B254" s="2">
        <v>45210</v>
      </c>
      <c r="C254" s="1" t="s">
        <v>12</v>
      </c>
      <c r="D254" s="1" t="s">
        <v>27</v>
      </c>
      <c r="E254" s="1" t="s">
        <v>28</v>
      </c>
      <c r="F254" s="1" t="s">
        <v>15</v>
      </c>
      <c r="G254" s="1" t="s">
        <v>21</v>
      </c>
      <c r="H254" s="1" t="s">
        <v>29</v>
      </c>
      <c r="I254" s="4">
        <v>2866.47</v>
      </c>
      <c r="J254" s="4">
        <v>3286.47</v>
      </c>
      <c r="K254">
        <v>32</v>
      </c>
      <c r="L254" s="3">
        <v>0.09</v>
      </c>
      <c r="M254" s="4">
        <v>91727.039999999994</v>
      </c>
      <c r="N254" s="4">
        <v>105164.16</v>
      </c>
      <c r="O254" s="4">
        <v>13437.12</v>
      </c>
      <c r="P254" s="3">
        <v>0.12777280777025199</v>
      </c>
    </row>
    <row r="255" spans="1:16" x14ac:dyDescent="0.3">
      <c r="A255">
        <v>1001</v>
      </c>
      <c r="B255" s="2">
        <v>45209</v>
      </c>
      <c r="C255" s="1" t="s">
        <v>18</v>
      </c>
      <c r="D255" s="1" t="s">
        <v>19</v>
      </c>
      <c r="E255" s="1" t="s">
        <v>24</v>
      </c>
      <c r="F255" s="1" t="s">
        <v>20</v>
      </c>
      <c r="G255" s="1" t="s">
        <v>25</v>
      </c>
      <c r="H255" s="1" t="s">
        <v>29</v>
      </c>
      <c r="I255" s="4">
        <v>2602.6</v>
      </c>
      <c r="J255" s="4">
        <v>3013.49</v>
      </c>
      <c r="K255">
        <v>18</v>
      </c>
      <c r="L255" s="3">
        <v>0.08</v>
      </c>
      <c r="M255" s="4">
        <v>46846.8</v>
      </c>
      <c r="N255" s="4">
        <v>54241.38</v>
      </c>
      <c r="O255" s="4">
        <v>7394.58</v>
      </c>
      <c r="P255" s="3">
        <v>0.13632728370849001</v>
      </c>
    </row>
    <row r="256" spans="1:16" x14ac:dyDescent="0.3">
      <c r="A256">
        <v>1052</v>
      </c>
      <c r="B256" s="2">
        <v>45208</v>
      </c>
      <c r="C256" s="1" t="s">
        <v>18</v>
      </c>
      <c r="D256" s="1" t="s">
        <v>19</v>
      </c>
      <c r="E256" s="1" t="s">
        <v>28</v>
      </c>
      <c r="F256" s="1" t="s">
        <v>15</v>
      </c>
      <c r="G256" s="1" t="s">
        <v>16</v>
      </c>
      <c r="H256" s="1" t="s">
        <v>17</v>
      </c>
      <c r="I256" s="4">
        <v>1509.98</v>
      </c>
      <c r="J256" s="4">
        <v>1792.83</v>
      </c>
      <c r="K256">
        <v>41</v>
      </c>
      <c r="L256" s="3">
        <v>0.04</v>
      </c>
      <c r="M256" s="4">
        <v>61909.18</v>
      </c>
      <c r="N256" s="4">
        <v>73504.39</v>
      </c>
      <c r="O256" s="4">
        <v>11595.21</v>
      </c>
      <c r="P256" s="3">
        <v>0.15774853719621401</v>
      </c>
    </row>
    <row r="257" spans="1:16" x14ac:dyDescent="0.3">
      <c r="A257">
        <v>1062</v>
      </c>
      <c r="B257" s="2">
        <v>45208</v>
      </c>
      <c r="C257" s="1" t="s">
        <v>23</v>
      </c>
      <c r="D257" s="1" t="s">
        <v>13</v>
      </c>
      <c r="E257" s="1" t="s">
        <v>28</v>
      </c>
      <c r="F257" s="1" t="s">
        <v>20</v>
      </c>
      <c r="G257" s="1" t="s">
        <v>16</v>
      </c>
      <c r="H257" s="1" t="s">
        <v>29</v>
      </c>
      <c r="I257" s="4">
        <v>1581.59</v>
      </c>
      <c r="J257" s="4">
        <v>2034.15</v>
      </c>
      <c r="K257">
        <v>4</v>
      </c>
      <c r="L257" s="3">
        <v>0.21</v>
      </c>
      <c r="M257" s="4">
        <v>6326.36</v>
      </c>
      <c r="N257" s="4">
        <v>8135.76</v>
      </c>
      <c r="O257" s="4">
        <v>1809.4</v>
      </c>
      <c r="P257" s="3">
        <v>0.222400857449089</v>
      </c>
    </row>
    <row r="258" spans="1:16" x14ac:dyDescent="0.3">
      <c r="A258">
        <v>1075</v>
      </c>
      <c r="B258" s="2">
        <v>45208</v>
      </c>
      <c r="C258" s="1" t="s">
        <v>31</v>
      </c>
      <c r="D258" s="1" t="s">
        <v>19</v>
      </c>
      <c r="E258" s="1" t="s">
        <v>14</v>
      </c>
      <c r="F258" s="1" t="s">
        <v>15</v>
      </c>
      <c r="G258" s="1" t="s">
        <v>25</v>
      </c>
      <c r="H258" s="1" t="s">
        <v>29</v>
      </c>
      <c r="I258" s="4">
        <v>2228.35</v>
      </c>
      <c r="J258" s="4">
        <v>2682.34</v>
      </c>
      <c r="K258">
        <v>18</v>
      </c>
      <c r="L258" s="3">
        <v>0.13</v>
      </c>
      <c r="M258" s="4">
        <v>40110.300000000003</v>
      </c>
      <c r="N258" s="4">
        <v>48279.78</v>
      </c>
      <c r="O258" s="4">
        <v>8169.48</v>
      </c>
      <c r="P258" s="3">
        <v>0.16921121015878701</v>
      </c>
    </row>
    <row r="259" spans="1:16" x14ac:dyDescent="0.3">
      <c r="A259">
        <v>1095</v>
      </c>
      <c r="B259" s="2">
        <v>45208</v>
      </c>
      <c r="C259" s="1" t="s">
        <v>18</v>
      </c>
      <c r="D259" s="1" t="s">
        <v>30</v>
      </c>
      <c r="E259" s="1" t="s">
        <v>14</v>
      </c>
      <c r="F259" s="1" t="s">
        <v>20</v>
      </c>
      <c r="G259" s="1" t="s">
        <v>25</v>
      </c>
      <c r="H259" s="1" t="s">
        <v>29</v>
      </c>
      <c r="I259" s="4">
        <v>621.04999999999995</v>
      </c>
      <c r="J259" s="4">
        <v>820.37</v>
      </c>
      <c r="K259">
        <v>21</v>
      </c>
      <c r="L259" s="3">
        <v>0.24</v>
      </c>
      <c r="M259" s="4">
        <v>13042.05</v>
      </c>
      <c r="N259" s="4">
        <v>17222.73</v>
      </c>
      <c r="O259" s="4">
        <v>4180.68</v>
      </c>
      <c r="P259" s="3">
        <v>0.24274200431638901</v>
      </c>
    </row>
    <row r="260" spans="1:16" x14ac:dyDescent="0.3">
      <c r="A260">
        <v>1001</v>
      </c>
      <c r="B260" s="2">
        <v>45207</v>
      </c>
      <c r="C260" s="1" t="s">
        <v>23</v>
      </c>
      <c r="D260" s="1" t="s">
        <v>19</v>
      </c>
      <c r="E260" s="1" t="s">
        <v>24</v>
      </c>
      <c r="F260" s="1" t="s">
        <v>20</v>
      </c>
      <c r="G260" s="1" t="s">
        <v>25</v>
      </c>
      <c r="H260" s="1" t="s">
        <v>17</v>
      </c>
      <c r="I260" s="4">
        <v>2933.54</v>
      </c>
      <c r="J260" s="4">
        <v>3307.75</v>
      </c>
      <c r="K260">
        <v>33</v>
      </c>
      <c r="L260" s="3">
        <v>0.01</v>
      </c>
      <c r="M260" s="4">
        <v>96806.82</v>
      </c>
      <c r="N260" s="4">
        <v>109155.42</v>
      </c>
      <c r="O260" s="4">
        <v>12348.6</v>
      </c>
      <c r="P260" s="3">
        <v>0.113128601401561</v>
      </c>
    </row>
    <row r="261" spans="1:16" x14ac:dyDescent="0.3">
      <c r="A261">
        <v>1032</v>
      </c>
      <c r="B261" s="2">
        <v>45207</v>
      </c>
      <c r="C261" s="1" t="s">
        <v>12</v>
      </c>
      <c r="D261" s="1" t="s">
        <v>13</v>
      </c>
      <c r="E261" s="1" t="s">
        <v>22</v>
      </c>
      <c r="F261" s="1" t="s">
        <v>15</v>
      </c>
      <c r="G261" s="1" t="s">
        <v>25</v>
      </c>
      <c r="H261" s="1" t="s">
        <v>29</v>
      </c>
      <c r="I261" s="4">
        <v>2025.67</v>
      </c>
      <c r="J261" s="4">
        <v>2081.5500000000002</v>
      </c>
      <c r="K261">
        <v>11</v>
      </c>
      <c r="L261" s="3">
        <v>0.27</v>
      </c>
      <c r="M261" s="4">
        <v>22282.37</v>
      </c>
      <c r="N261" s="4">
        <v>22894.080000000002</v>
      </c>
      <c r="O261" s="4">
        <v>611.71</v>
      </c>
      <c r="P261" s="3">
        <v>2.6719134378843799E-2</v>
      </c>
    </row>
    <row r="262" spans="1:16" x14ac:dyDescent="0.3">
      <c r="A262">
        <v>1051</v>
      </c>
      <c r="B262" s="2">
        <v>45206</v>
      </c>
      <c r="C262" s="1" t="s">
        <v>23</v>
      </c>
      <c r="D262" s="1" t="s">
        <v>19</v>
      </c>
      <c r="E262" s="1" t="s">
        <v>24</v>
      </c>
      <c r="F262" s="1" t="s">
        <v>15</v>
      </c>
      <c r="G262" s="1" t="s">
        <v>16</v>
      </c>
      <c r="H262" s="1" t="s">
        <v>29</v>
      </c>
      <c r="I262" s="4">
        <v>3434.75</v>
      </c>
      <c r="J262" s="4">
        <v>3659.42</v>
      </c>
      <c r="K262">
        <v>3</v>
      </c>
      <c r="L262" s="3">
        <v>0.16</v>
      </c>
      <c r="M262" s="4">
        <v>10304.25</v>
      </c>
      <c r="N262" s="4">
        <v>10977.78</v>
      </c>
      <c r="O262" s="4">
        <v>673.53</v>
      </c>
      <c r="P262" s="3">
        <v>6.13539349485962E-2</v>
      </c>
    </row>
    <row r="263" spans="1:16" x14ac:dyDescent="0.3">
      <c r="A263">
        <v>1060</v>
      </c>
      <c r="B263" s="2">
        <v>45206</v>
      </c>
      <c r="C263" s="1" t="s">
        <v>26</v>
      </c>
      <c r="D263" s="1" t="s">
        <v>27</v>
      </c>
      <c r="E263" s="1" t="s">
        <v>28</v>
      </c>
      <c r="F263" s="1" t="s">
        <v>15</v>
      </c>
      <c r="G263" s="1" t="s">
        <v>25</v>
      </c>
      <c r="H263" s="1" t="s">
        <v>29</v>
      </c>
      <c r="I263" s="4">
        <v>647.70000000000005</v>
      </c>
      <c r="J263" s="4">
        <v>902.26</v>
      </c>
      <c r="K263">
        <v>23</v>
      </c>
      <c r="L263" s="3">
        <v>0.17</v>
      </c>
      <c r="M263" s="4">
        <v>14897.1</v>
      </c>
      <c r="N263" s="4">
        <v>20748.07</v>
      </c>
      <c r="O263" s="4">
        <v>5850.97</v>
      </c>
      <c r="P263" s="3">
        <v>0.282000687292842</v>
      </c>
    </row>
    <row r="264" spans="1:16" x14ac:dyDescent="0.3">
      <c r="A264">
        <v>1063</v>
      </c>
      <c r="B264" s="2">
        <v>45204</v>
      </c>
      <c r="C264" s="1" t="s">
        <v>26</v>
      </c>
      <c r="D264" s="1" t="s">
        <v>27</v>
      </c>
      <c r="E264" s="1" t="s">
        <v>22</v>
      </c>
      <c r="F264" s="1" t="s">
        <v>15</v>
      </c>
      <c r="G264" s="1" t="s">
        <v>25</v>
      </c>
      <c r="H264" s="1" t="s">
        <v>17</v>
      </c>
      <c r="I264" s="4">
        <v>2069.08</v>
      </c>
      <c r="J264" s="4">
        <v>2246.2399999999998</v>
      </c>
      <c r="K264">
        <v>27</v>
      </c>
      <c r="L264" s="3">
        <v>0.06</v>
      </c>
      <c r="M264" s="4">
        <v>55865.16</v>
      </c>
      <c r="N264" s="4">
        <v>60646.86</v>
      </c>
      <c r="O264" s="4">
        <v>4781.7</v>
      </c>
      <c r="P264" s="3">
        <v>7.8844972353061593E-2</v>
      </c>
    </row>
    <row r="265" spans="1:16" x14ac:dyDescent="0.3">
      <c r="A265">
        <v>1066</v>
      </c>
      <c r="B265" s="2">
        <v>45204</v>
      </c>
      <c r="C265" s="1" t="s">
        <v>26</v>
      </c>
      <c r="D265" s="1" t="s">
        <v>27</v>
      </c>
      <c r="E265" s="1" t="s">
        <v>24</v>
      </c>
      <c r="F265" s="1" t="s">
        <v>15</v>
      </c>
      <c r="G265" s="1" t="s">
        <v>25</v>
      </c>
      <c r="H265" s="1" t="s">
        <v>29</v>
      </c>
      <c r="I265" s="4">
        <v>4596.68</v>
      </c>
      <c r="J265" s="4">
        <v>5044.74</v>
      </c>
      <c r="K265">
        <v>4</v>
      </c>
      <c r="L265" s="3">
        <v>0.01</v>
      </c>
      <c r="M265" s="4">
        <v>18386.72</v>
      </c>
      <c r="N265" s="4">
        <v>20178.919999999998</v>
      </c>
      <c r="O265" s="4">
        <v>1792.2</v>
      </c>
      <c r="P265" s="3">
        <v>8.8815456922372499E-2</v>
      </c>
    </row>
    <row r="266" spans="1:16" x14ac:dyDescent="0.3">
      <c r="A266">
        <v>1079</v>
      </c>
      <c r="B266" s="2">
        <v>45203</v>
      </c>
      <c r="C266" s="1" t="s">
        <v>12</v>
      </c>
      <c r="D266" s="1" t="s">
        <v>13</v>
      </c>
      <c r="E266" s="1" t="s">
        <v>22</v>
      </c>
      <c r="F266" s="1" t="s">
        <v>15</v>
      </c>
      <c r="G266" s="1" t="s">
        <v>16</v>
      </c>
      <c r="H266" s="1" t="s">
        <v>29</v>
      </c>
      <c r="I266" s="4">
        <v>4754.0200000000004</v>
      </c>
      <c r="J266" s="4">
        <v>5080.74</v>
      </c>
      <c r="K266">
        <v>12</v>
      </c>
      <c r="L266" s="3">
        <v>0.2</v>
      </c>
      <c r="M266" s="4">
        <v>57048.24</v>
      </c>
      <c r="N266" s="4">
        <v>60966.48</v>
      </c>
      <c r="O266" s="4">
        <v>3918.24</v>
      </c>
      <c r="P266" s="3">
        <v>6.4268758832722497E-2</v>
      </c>
    </row>
    <row r="267" spans="1:16" x14ac:dyDescent="0.3">
      <c r="A267">
        <v>1088</v>
      </c>
      <c r="B267" s="2">
        <v>45203</v>
      </c>
      <c r="C267" s="1" t="s">
        <v>23</v>
      </c>
      <c r="D267" s="1" t="s">
        <v>13</v>
      </c>
      <c r="E267" s="1" t="s">
        <v>28</v>
      </c>
      <c r="F267" s="1" t="s">
        <v>15</v>
      </c>
      <c r="G267" s="1" t="s">
        <v>21</v>
      </c>
      <c r="H267" s="1" t="s">
        <v>17</v>
      </c>
      <c r="I267" s="4">
        <v>4904.93</v>
      </c>
      <c r="J267" s="4">
        <v>5034.3500000000004</v>
      </c>
      <c r="K267">
        <v>40</v>
      </c>
      <c r="L267" s="3">
        <v>0.1</v>
      </c>
      <c r="M267" s="4">
        <v>196197.2</v>
      </c>
      <c r="N267" s="4">
        <v>201370</v>
      </c>
      <c r="O267" s="4">
        <v>5172.8</v>
      </c>
      <c r="P267" s="3">
        <v>2.5688036946913601E-2</v>
      </c>
    </row>
    <row r="268" spans="1:16" x14ac:dyDescent="0.3">
      <c r="A268">
        <v>1053</v>
      </c>
      <c r="B268" s="2">
        <v>45201</v>
      </c>
      <c r="C268" s="1" t="s">
        <v>18</v>
      </c>
      <c r="D268" s="1" t="s">
        <v>13</v>
      </c>
      <c r="E268" s="1" t="s">
        <v>28</v>
      </c>
      <c r="F268" s="1" t="s">
        <v>20</v>
      </c>
      <c r="G268" s="1" t="s">
        <v>21</v>
      </c>
      <c r="H268" s="1" t="s">
        <v>29</v>
      </c>
      <c r="I268" s="4">
        <v>3741.3</v>
      </c>
      <c r="J268" s="4">
        <v>4061.04</v>
      </c>
      <c r="K268">
        <v>29</v>
      </c>
      <c r="L268" s="3">
        <v>0.21</v>
      </c>
      <c r="M268" s="4">
        <v>108497.7</v>
      </c>
      <c r="N268" s="4">
        <v>117764.07</v>
      </c>
      <c r="O268" s="4">
        <v>9266.3700000000008</v>
      </c>
      <c r="P268" s="3">
        <v>7.8685884412792506E-2</v>
      </c>
    </row>
    <row r="269" spans="1:16" x14ac:dyDescent="0.3">
      <c r="A269">
        <v>1093</v>
      </c>
      <c r="B269" s="2">
        <v>45201</v>
      </c>
      <c r="C269" s="1" t="s">
        <v>23</v>
      </c>
      <c r="D269" s="1" t="s">
        <v>19</v>
      </c>
      <c r="E269" s="1" t="s">
        <v>28</v>
      </c>
      <c r="F269" s="1" t="s">
        <v>15</v>
      </c>
      <c r="G269" s="1" t="s">
        <v>16</v>
      </c>
      <c r="H269" s="1" t="s">
        <v>17</v>
      </c>
      <c r="I269" s="4">
        <v>1486.76</v>
      </c>
      <c r="J269" s="4">
        <v>1505.44</v>
      </c>
      <c r="K269">
        <v>43</v>
      </c>
      <c r="L269" s="3">
        <v>0.08</v>
      </c>
      <c r="M269" s="4">
        <v>63930.68</v>
      </c>
      <c r="N269" s="4">
        <v>64730.48</v>
      </c>
      <c r="O269" s="4">
        <v>799.8</v>
      </c>
      <c r="P269" s="3">
        <v>1.23558484349259E-2</v>
      </c>
    </row>
    <row r="270" spans="1:16" x14ac:dyDescent="0.3">
      <c r="A270">
        <v>1077</v>
      </c>
      <c r="B270" s="2">
        <v>45200</v>
      </c>
      <c r="C270" s="1" t="s">
        <v>26</v>
      </c>
      <c r="D270" s="1" t="s">
        <v>19</v>
      </c>
      <c r="E270" s="1" t="s">
        <v>28</v>
      </c>
      <c r="F270" s="1" t="s">
        <v>15</v>
      </c>
      <c r="G270" s="1" t="s">
        <v>25</v>
      </c>
      <c r="H270" s="1" t="s">
        <v>29</v>
      </c>
      <c r="I270" s="4">
        <v>3650.89</v>
      </c>
      <c r="J270" s="4">
        <v>3930.06</v>
      </c>
      <c r="K270">
        <v>5</v>
      </c>
      <c r="L270" s="3">
        <v>0.17</v>
      </c>
      <c r="M270" s="4">
        <v>18254.45</v>
      </c>
      <c r="N270" s="4">
        <v>19649.45</v>
      </c>
      <c r="O270" s="4">
        <v>1395</v>
      </c>
      <c r="P270" s="3">
        <v>7.0994353531523793E-2</v>
      </c>
    </row>
    <row r="271" spans="1:16" x14ac:dyDescent="0.3">
      <c r="A271">
        <v>1091</v>
      </c>
      <c r="B271" s="2">
        <v>45200</v>
      </c>
      <c r="C271" s="1" t="s">
        <v>12</v>
      </c>
      <c r="D271" s="1" t="s">
        <v>13</v>
      </c>
      <c r="E271" s="1" t="s">
        <v>28</v>
      </c>
      <c r="F271" s="1" t="s">
        <v>20</v>
      </c>
      <c r="G271" s="1" t="s">
        <v>21</v>
      </c>
      <c r="H271" s="1" t="s">
        <v>17</v>
      </c>
      <c r="I271" s="4">
        <v>1534.7</v>
      </c>
      <c r="J271" s="4">
        <v>1972.62</v>
      </c>
      <c r="K271">
        <v>15</v>
      </c>
      <c r="L271" s="3">
        <v>0.06</v>
      </c>
      <c r="M271" s="4">
        <v>23020.5</v>
      </c>
      <c r="N271" s="4">
        <v>29588.400000000001</v>
      </c>
      <c r="O271" s="4">
        <v>6567.9</v>
      </c>
      <c r="P271" s="3">
        <v>0.221975503913696</v>
      </c>
    </row>
    <row r="272" spans="1:16" x14ac:dyDescent="0.3">
      <c r="A272">
        <v>1093</v>
      </c>
      <c r="B272" s="2">
        <v>45200</v>
      </c>
      <c r="C272" s="1" t="s">
        <v>12</v>
      </c>
      <c r="D272" s="1" t="s">
        <v>13</v>
      </c>
      <c r="E272" s="1" t="s">
        <v>28</v>
      </c>
      <c r="F272" s="1" t="s">
        <v>20</v>
      </c>
      <c r="G272" s="1" t="s">
        <v>25</v>
      </c>
      <c r="H272" s="1" t="s">
        <v>17</v>
      </c>
      <c r="I272" s="4">
        <v>2593.64</v>
      </c>
      <c r="J272" s="4">
        <v>2955.51</v>
      </c>
      <c r="K272">
        <v>22</v>
      </c>
      <c r="L272" s="3">
        <v>0</v>
      </c>
      <c r="M272" s="4">
        <v>57060.08</v>
      </c>
      <c r="N272" s="4">
        <v>65021.22</v>
      </c>
      <c r="O272" s="4">
        <v>7961.14</v>
      </c>
      <c r="P272" s="3">
        <v>0.12243910526440401</v>
      </c>
    </row>
    <row r="273" spans="1:16" x14ac:dyDescent="0.3">
      <c r="A273">
        <v>1023</v>
      </c>
      <c r="B273" s="2">
        <v>45199</v>
      </c>
      <c r="C273" s="1" t="s">
        <v>31</v>
      </c>
      <c r="D273" s="1" t="s">
        <v>30</v>
      </c>
      <c r="E273" s="1" t="s">
        <v>24</v>
      </c>
      <c r="F273" s="1" t="s">
        <v>20</v>
      </c>
      <c r="G273" s="1" t="s">
        <v>16</v>
      </c>
      <c r="H273" s="1" t="s">
        <v>29</v>
      </c>
      <c r="I273" s="4">
        <v>1563.78</v>
      </c>
      <c r="J273" s="4">
        <v>1829.16</v>
      </c>
      <c r="K273">
        <v>8</v>
      </c>
      <c r="L273" s="3">
        <v>0.15</v>
      </c>
      <c r="M273" s="4">
        <v>12510.24</v>
      </c>
      <c r="N273" s="4">
        <v>14632.08</v>
      </c>
      <c r="O273" s="4">
        <v>2121.84</v>
      </c>
      <c r="P273" s="3">
        <v>0.14501287581806599</v>
      </c>
    </row>
    <row r="274" spans="1:16" x14ac:dyDescent="0.3">
      <c r="A274">
        <v>1048</v>
      </c>
      <c r="B274" s="2">
        <v>45199</v>
      </c>
      <c r="C274" s="1" t="s">
        <v>31</v>
      </c>
      <c r="D274" s="1" t="s">
        <v>30</v>
      </c>
      <c r="E274" s="1" t="s">
        <v>24</v>
      </c>
      <c r="F274" s="1" t="s">
        <v>15</v>
      </c>
      <c r="G274" s="1" t="s">
        <v>21</v>
      </c>
      <c r="H274" s="1" t="s">
        <v>17</v>
      </c>
      <c r="I274" s="4">
        <v>2900.14</v>
      </c>
      <c r="J274" s="4">
        <v>2910.51</v>
      </c>
      <c r="K274">
        <v>4</v>
      </c>
      <c r="L274" s="3">
        <v>0.22</v>
      </c>
      <c r="M274" s="4">
        <v>11600.56</v>
      </c>
      <c r="N274" s="4">
        <v>11641.16</v>
      </c>
      <c r="O274" s="4">
        <v>40.6</v>
      </c>
      <c r="P274" s="3">
        <v>3.4876249445931502E-3</v>
      </c>
    </row>
    <row r="275" spans="1:16" x14ac:dyDescent="0.3">
      <c r="A275">
        <v>1084</v>
      </c>
      <c r="B275" s="2">
        <v>45199</v>
      </c>
      <c r="C275" s="1" t="s">
        <v>26</v>
      </c>
      <c r="D275" s="1" t="s">
        <v>13</v>
      </c>
      <c r="E275" s="1" t="s">
        <v>22</v>
      </c>
      <c r="F275" s="1" t="s">
        <v>20</v>
      </c>
      <c r="G275" s="1" t="s">
        <v>16</v>
      </c>
      <c r="H275" s="1" t="s">
        <v>17</v>
      </c>
      <c r="I275" s="4">
        <v>169</v>
      </c>
      <c r="J275" s="4">
        <v>381.92</v>
      </c>
      <c r="K275">
        <v>30</v>
      </c>
      <c r="L275" s="3">
        <v>0.26</v>
      </c>
      <c r="M275" s="4">
        <v>5070</v>
      </c>
      <c r="N275" s="4">
        <v>11449.8</v>
      </c>
      <c r="O275" s="4">
        <v>6379.8</v>
      </c>
      <c r="P275" s="3">
        <v>0.55719750563328596</v>
      </c>
    </row>
    <row r="276" spans="1:16" x14ac:dyDescent="0.3">
      <c r="A276">
        <v>1036</v>
      </c>
      <c r="B276" s="2">
        <v>45198</v>
      </c>
      <c r="C276" s="1" t="s">
        <v>23</v>
      </c>
      <c r="D276" s="1" t="s">
        <v>30</v>
      </c>
      <c r="E276" s="1" t="s">
        <v>14</v>
      </c>
      <c r="F276" s="1" t="s">
        <v>15</v>
      </c>
      <c r="G276" s="1" t="s">
        <v>16</v>
      </c>
      <c r="H276" s="1" t="s">
        <v>17</v>
      </c>
      <c r="I276" s="4">
        <v>2588.67</v>
      </c>
      <c r="J276" s="4">
        <v>2847.76</v>
      </c>
      <c r="K276">
        <v>7</v>
      </c>
      <c r="L276" s="3">
        <v>0.22</v>
      </c>
      <c r="M276" s="4">
        <v>18120.689999999999</v>
      </c>
      <c r="N276" s="4">
        <v>19932.78</v>
      </c>
      <c r="O276" s="4">
        <v>1812.09</v>
      </c>
      <c r="P276" s="3">
        <v>9.0910048673591898E-2</v>
      </c>
    </row>
    <row r="277" spans="1:16" x14ac:dyDescent="0.3">
      <c r="A277">
        <v>1004</v>
      </c>
      <c r="B277" s="2">
        <v>45197</v>
      </c>
      <c r="C277" s="1" t="s">
        <v>12</v>
      </c>
      <c r="D277" s="1" t="s">
        <v>27</v>
      </c>
      <c r="E277" s="1" t="s">
        <v>14</v>
      </c>
      <c r="F277" s="1" t="s">
        <v>15</v>
      </c>
      <c r="G277" s="1" t="s">
        <v>21</v>
      </c>
      <c r="H277" s="1" t="s">
        <v>17</v>
      </c>
      <c r="I277" s="4">
        <v>4354.6000000000004</v>
      </c>
      <c r="J277" s="4">
        <v>4820.2</v>
      </c>
      <c r="K277">
        <v>27</v>
      </c>
      <c r="L277" s="3">
        <v>0.14000000000000001</v>
      </c>
      <c r="M277" s="4">
        <v>117574.2</v>
      </c>
      <c r="N277" s="4">
        <v>130141.62</v>
      </c>
      <c r="O277" s="4">
        <v>12567.42</v>
      </c>
      <c r="P277" s="3">
        <v>9.65672626481828E-2</v>
      </c>
    </row>
    <row r="278" spans="1:16" x14ac:dyDescent="0.3">
      <c r="A278">
        <v>1049</v>
      </c>
      <c r="B278" s="2">
        <v>45197</v>
      </c>
      <c r="C278" s="1" t="s">
        <v>26</v>
      </c>
      <c r="D278" s="1" t="s">
        <v>19</v>
      </c>
      <c r="E278" s="1" t="s">
        <v>24</v>
      </c>
      <c r="F278" s="1" t="s">
        <v>20</v>
      </c>
      <c r="G278" s="1" t="s">
        <v>25</v>
      </c>
      <c r="H278" s="1" t="s">
        <v>29</v>
      </c>
      <c r="I278" s="4">
        <v>3351.33</v>
      </c>
      <c r="J278" s="4">
        <v>3465.35</v>
      </c>
      <c r="K278">
        <v>44</v>
      </c>
      <c r="L278" s="3">
        <v>0.12</v>
      </c>
      <c r="M278" s="4">
        <v>147458.51999999999</v>
      </c>
      <c r="N278" s="4">
        <v>152470.12</v>
      </c>
      <c r="O278" s="4">
        <v>5011.6000000000004</v>
      </c>
      <c r="P278" s="3">
        <v>3.2869391064951001E-2</v>
      </c>
    </row>
    <row r="279" spans="1:16" x14ac:dyDescent="0.3">
      <c r="A279">
        <v>1047</v>
      </c>
      <c r="B279" s="2">
        <v>45196</v>
      </c>
      <c r="C279" s="1" t="s">
        <v>12</v>
      </c>
      <c r="D279" s="1" t="s">
        <v>30</v>
      </c>
      <c r="E279" s="1" t="s">
        <v>28</v>
      </c>
      <c r="F279" s="1" t="s">
        <v>20</v>
      </c>
      <c r="G279" s="1" t="s">
        <v>21</v>
      </c>
      <c r="H279" s="1" t="s">
        <v>17</v>
      </c>
      <c r="I279" s="4">
        <v>367.98</v>
      </c>
      <c r="J279" s="4">
        <v>806.14</v>
      </c>
      <c r="K279">
        <v>32</v>
      </c>
      <c r="L279" s="3">
        <v>0.22</v>
      </c>
      <c r="M279" s="4">
        <v>11775.36</v>
      </c>
      <c r="N279" s="4">
        <v>25789.439999999999</v>
      </c>
      <c r="O279" s="4">
        <v>14014.08</v>
      </c>
      <c r="P279" s="3">
        <v>0.543403811792734</v>
      </c>
    </row>
    <row r="280" spans="1:16" x14ac:dyDescent="0.3">
      <c r="A280">
        <v>1058</v>
      </c>
      <c r="B280" s="2">
        <v>45196</v>
      </c>
      <c r="C280" s="1" t="s">
        <v>12</v>
      </c>
      <c r="D280" s="1" t="s">
        <v>19</v>
      </c>
      <c r="E280" s="1" t="s">
        <v>28</v>
      </c>
      <c r="F280" s="1" t="s">
        <v>15</v>
      </c>
      <c r="G280" s="1" t="s">
        <v>25</v>
      </c>
      <c r="H280" s="1" t="s">
        <v>17</v>
      </c>
      <c r="I280" s="4">
        <v>3578.77</v>
      </c>
      <c r="J280" s="4">
        <v>3635.02</v>
      </c>
      <c r="K280">
        <v>29</v>
      </c>
      <c r="L280" s="3">
        <v>0.2</v>
      </c>
      <c r="M280" s="4">
        <v>103784.33</v>
      </c>
      <c r="N280" s="4">
        <v>105409.78</v>
      </c>
      <c r="O280" s="4">
        <v>1625.45</v>
      </c>
      <c r="P280" s="3">
        <v>1.54202959156162E-2</v>
      </c>
    </row>
    <row r="281" spans="1:16" x14ac:dyDescent="0.3">
      <c r="A281">
        <v>1088</v>
      </c>
      <c r="B281" s="2">
        <v>45196</v>
      </c>
      <c r="C281" s="1" t="s">
        <v>12</v>
      </c>
      <c r="D281" s="1" t="s">
        <v>30</v>
      </c>
      <c r="E281" s="1" t="s">
        <v>14</v>
      </c>
      <c r="F281" s="1" t="s">
        <v>20</v>
      </c>
      <c r="G281" s="1" t="s">
        <v>16</v>
      </c>
      <c r="H281" s="1" t="s">
        <v>17</v>
      </c>
      <c r="I281" s="4">
        <v>4389.24</v>
      </c>
      <c r="J281" s="4">
        <v>4856.22</v>
      </c>
      <c r="K281">
        <v>12</v>
      </c>
      <c r="L281" s="3">
        <v>0.15</v>
      </c>
      <c r="M281" s="4">
        <v>52670.879999999997</v>
      </c>
      <c r="N281" s="4">
        <v>58272.84</v>
      </c>
      <c r="O281" s="4">
        <v>5601.96</v>
      </c>
      <c r="P281" s="3">
        <v>9.6133292971476894E-2</v>
      </c>
    </row>
    <row r="282" spans="1:16" x14ac:dyDescent="0.3">
      <c r="A282">
        <v>1006</v>
      </c>
      <c r="B282" s="2">
        <v>45195</v>
      </c>
      <c r="C282" s="1" t="s">
        <v>23</v>
      </c>
      <c r="D282" s="1" t="s">
        <v>13</v>
      </c>
      <c r="E282" s="1" t="s">
        <v>22</v>
      </c>
      <c r="F282" s="1" t="s">
        <v>15</v>
      </c>
      <c r="G282" s="1" t="s">
        <v>25</v>
      </c>
      <c r="H282" s="1" t="s">
        <v>17</v>
      </c>
      <c r="I282" s="4">
        <v>4503.7299999999996</v>
      </c>
      <c r="J282" s="4">
        <v>4879.88</v>
      </c>
      <c r="K282">
        <v>14</v>
      </c>
      <c r="L282" s="3">
        <v>0.24</v>
      </c>
      <c r="M282" s="4">
        <v>63052.22</v>
      </c>
      <c r="N282" s="4">
        <v>68314.960000000006</v>
      </c>
      <c r="O282" s="4">
        <v>5262.74</v>
      </c>
      <c r="P282" s="3">
        <v>7.7036420719561294E-2</v>
      </c>
    </row>
    <row r="283" spans="1:16" x14ac:dyDescent="0.3">
      <c r="A283">
        <v>1018</v>
      </c>
      <c r="B283" s="2">
        <v>45195</v>
      </c>
      <c r="C283" s="1" t="s">
        <v>18</v>
      </c>
      <c r="D283" s="1" t="s">
        <v>13</v>
      </c>
      <c r="E283" s="1" t="s">
        <v>24</v>
      </c>
      <c r="F283" s="1" t="s">
        <v>15</v>
      </c>
      <c r="G283" s="1" t="s">
        <v>25</v>
      </c>
      <c r="H283" s="1" t="s">
        <v>17</v>
      </c>
      <c r="I283" s="4">
        <v>739.63</v>
      </c>
      <c r="J283" s="4">
        <v>1103.03</v>
      </c>
      <c r="K283">
        <v>25</v>
      </c>
      <c r="L283" s="3">
        <v>0.26</v>
      </c>
      <c r="M283" s="4">
        <v>18490.75</v>
      </c>
      <c r="N283" s="4">
        <v>27569.25</v>
      </c>
      <c r="O283" s="4">
        <v>9078.5</v>
      </c>
      <c r="P283" s="3">
        <v>0.32929804038920202</v>
      </c>
    </row>
    <row r="284" spans="1:16" x14ac:dyDescent="0.3">
      <c r="A284">
        <v>1090</v>
      </c>
      <c r="B284" s="2">
        <v>45195</v>
      </c>
      <c r="C284" s="1" t="s">
        <v>12</v>
      </c>
      <c r="D284" s="1" t="s">
        <v>30</v>
      </c>
      <c r="E284" s="1" t="s">
        <v>28</v>
      </c>
      <c r="F284" s="1" t="s">
        <v>20</v>
      </c>
      <c r="G284" s="1" t="s">
        <v>16</v>
      </c>
      <c r="H284" s="1" t="s">
        <v>17</v>
      </c>
      <c r="I284" s="4">
        <v>210.33</v>
      </c>
      <c r="J284" s="4">
        <v>552.29</v>
      </c>
      <c r="K284">
        <v>11</v>
      </c>
      <c r="L284" s="3">
        <v>0.18</v>
      </c>
      <c r="M284" s="4">
        <v>2313.63</v>
      </c>
      <c r="N284" s="4">
        <v>6073.21</v>
      </c>
      <c r="O284" s="4">
        <v>3759.58</v>
      </c>
      <c r="P284" s="3">
        <v>0.61904330658745599</v>
      </c>
    </row>
    <row r="285" spans="1:16" x14ac:dyDescent="0.3">
      <c r="A285">
        <v>1039</v>
      </c>
      <c r="B285" s="2">
        <v>45194</v>
      </c>
      <c r="C285" s="1" t="s">
        <v>12</v>
      </c>
      <c r="D285" s="1" t="s">
        <v>19</v>
      </c>
      <c r="E285" s="1" t="s">
        <v>28</v>
      </c>
      <c r="F285" s="1" t="s">
        <v>15</v>
      </c>
      <c r="G285" s="1" t="s">
        <v>16</v>
      </c>
      <c r="H285" s="1" t="s">
        <v>29</v>
      </c>
      <c r="I285" s="4">
        <v>4127.05</v>
      </c>
      <c r="J285" s="4">
        <v>4313.45</v>
      </c>
      <c r="K285">
        <v>37</v>
      </c>
      <c r="L285" s="3">
        <v>0.16</v>
      </c>
      <c r="M285" s="4">
        <v>152700.85</v>
      </c>
      <c r="N285" s="4">
        <v>159591.73000000001</v>
      </c>
      <c r="O285" s="4">
        <v>6890.88</v>
      </c>
      <c r="P285" s="3">
        <v>4.31781772150725E-2</v>
      </c>
    </row>
    <row r="286" spans="1:16" x14ac:dyDescent="0.3">
      <c r="A286">
        <v>1066</v>
      </c>
      <c r="B286" s="2">
        <v>45194</v>
      </c>
      <c r="C286" s="1" t="s">
        <v>12</v>
      </c>
      <c r="D286" s="1" t="s">
        <v>13</v>
      </c>
      <c r="E286" s="1" t="s">
        <v>22</v>
      </c>
      <c r="F286" s="1" t="s">
        <v>15</v>
      </c>
      <c r="G286" s="1" t="s">
        <v>21</v>
      </c>
      <c r="H286" s="1" t="s">
        <v>17</v>
      </c>
      <c r="I286" s="4">
        <v>1319.24</v>
      </c>
      <c r="J286" s="4">
        <v>1805.56</v>
      </c>
      <c r="K286">
        <v>47</v>
      </c>
      <c r="L286" s="3">
        <v>0.26</v>
      </c>
      <c r="M286" s="4">
        <v>62004.28</v>
      </c>
      <c r="N286" s="4">
        <v>84849.1</v>
      </c>
      <c r="O286" s="4">
        <v>22844.82</v>
      </c>
      <c r="P286" s="3">
        <v>0.26924056943444302</v>
      </c>
    </row>
    <row r="287" spans="1:16" x14ac:dyDescent="0.3">
      <c r="A287">
        <v>1005</v>
      </c>
      <c r="B287" s="2">
        <v>45193</v>
      </c>
      <c r="C287" s="1" t="s">
        <v>12</v>
      </c>
      <c r="D287" s="1" t="s">
        <v>27</v>
      </c>
      <c r="E287" s="1" t="s">
        <v>22</v>
      </c>
      <c r="F287" s="1" t="s">
        <v>20</v>
      </c>
      <c r="G287" s="1" t="s">
        <v>16</v>
      </c>
      <c r="H287" s="1" t="s">
        <v>17</v>
      </c>
      <c r="I287" s="4">
        <v>122.5</v>
      </c>
      <c r="J287" s="4">
        <v>385.83</v>
      </c>
      <c r="K287">
        <v>6</v>
      </c>
      <c r="L287" s="3">
        <v>0.1</v>
      </c>
      <c r="M287" s="4">
        <v>735</v>
      </c>
      <c r="N287" s="4">
        <v>2314.38</v>
      </c>
      <c r="O287" s="4">
        <v>1579.38</v>
      </c>
      <c r="P287" s="3">
        <v>0.68242034583776201</v>
      </c>
    </row>
    <row r="288" spans="1:16" x14ac:dyDescent="0.3">
      <c r="A288">
        <v>1015</v>
      </c>
      <c r="B288" s="2">
        <v>45193</v>
      </c>
      <c r="C288" s="1" t="s">
        <v>23</v>
      </c>
      <c r="D288" s="1" t="s">
        <v>13</v>
      </c>
      <c r="E288" s="1" t="s">
        <v>14</v>
      </c>
      <c r="F288" s="1" t="s">
        <v>20</v>
      </c>
      <c r="G288" s="1" t="s">
        <v>21</v>
      </c>
      <c r="H288" s="1" t="s">
        <v>29</v>
      </c>
      <c r="I288" s="4">
        <v>3461.15</v>
      </c>
      <c r="J288" s="4">
        <v>3631.75</v>
      </c>
      <c r="K288">
        <v>35</v>
      </c>
      <c r="L288" s="3">
        <v>0.27</v>
      </c>
      <c r="M288" s="4">
        <v>121140.25</v>
      </c>
      <c r="N288" s="4">
        <v>127101.8</v>
      </c>
      <c r="O288" s="4">
        <v>5961.55</v>
      </c>
      <c r="P288" s="3">
        <v>4.6903741725136901E-2</v>
      </c>
    </row>
    <row r="289" spans="1:16" x14ac:dyDescent="0.3">
      <c r="A289">
        <v>1046</v>
      </c>
      <c r="B289" s="2">
        <v>45193</v>
      </c>
      <c r="C289" s="1" t="s">
        <v>31</v>
      </c>
      <c r="D289" s="1" t="s">
        <v>19</v>
      </c>
      <c r="E289" s="1" t="s">
        <v>14</v>
      </c>
      <c r="F289" s="1" t="s">
        <v>20</v>
      </c>
      <c r="G289" s="1" t="s">
        <v>16</v>
      </c>
      <c r="H289" s="1" t="s">
        <v>17</v>
      </c>
      <c r="I289" s="4">
        <v>1825.37</v>
      </c>
      <c r="J289" s="4">
        <v>2073.88</v>
      </c>
      <c r="K289">
        <v>41</v>
      </c>
      <c r="L289" s="3">
        <v>0.27</v>
      </c>
      <c r="M289" s="4">
        <v>74840.17</v>
      </c>
      <c r="N289" s="4">
        <v>85018.01</v>
      </c>
      <c r="O289" s="4">
        <v>10177.84</v>
      </c>
      <c r="P289" s="3">
        <v>0.11971392884872301</v>
      </c>
    </row>
    <row r="290" spans="1:16" x14ac:dyDescent="0.3">
      <c r="A290">
        <v>1089</v>
      </c>
      <c r="B290" s="2">
        <v>45193</v>
      </c>
      <c r="C290" s="1" t="s">
        <v>23</v>
      </c>
      <c r="D290" s="1" t="s">
        <v>27</v>
      </c>
      <c r="E290" s="1" t="s">
        <v>22</v>
      </c>
      <c r="F290" s="1" t="s">
        <v>15</v>
      </c>
      <c r="G290" s="1" t="s">
        <v>16</v>
      </c>
      <c r="H290" s="1" t="s">
        <v>17</v>
      </c>
      <c r="I290" s="4">
        <v>2246.67</v>
      </c>
      <c r="J290" s="4">
        <v>2486.14</v>
      </c>
      <c r="K290">
        <v>48</v>
      </c>
      <c r="L290" s="3">
        <v>0.03</v>
      </c>
      <c r="M290" s="4">
        <v>107840.16</v>
      </c>
      <c r="N290" s="4">
        <v>119333.28</v>
      </c>
      <c r="O290" s="4">
        <v>11493.12</v>
      </c>
      <c r="P290" s="3">
        <v>9.6311104496583005E-2</v>
      </c>
    </row>
    <row r="291" spans="1:16" x14ac:dyDescent="0.3">
      <c r="A291">
        <v>1097</v>
      </c>
      <c r="B291" s="2">
        <v>45193</v>
      </c>
      <c r="C291" s="1" t="s">
        <v>26</v>
      </c>
      <c r="D291" s="1" t="s">
        <v>13</v>
      </c>
      <c r="E291" s="1" t="s">
        <v>22</v>
      </c>
      <c r="F291" s="1" t="s">
        <v>20</v>
      </c>
      <c r="G291" s="1" t="s">
        <v>21</v>
      </c>
      <c r="H291" s="1" t="s">
        <v>17</v>
      </c>
      <c r="I291" s="4">
        <v>4067.28</v>
      </c>
      <c r="J291" s="4">
        <v>4548.09</v>
      </c>
      <c r="K291">
        <v>9</v>
      </c>
      <c r="L291" s="3">
        <v>0.12</v>
      </c>
      <c r="M291" s="4">
        <v>36605.519999999997</v>
      </c>
      <c r="N291" s="4">
        <v>40931.730000000003</v>
      </c>
      <c r="O291" s="4">
        <v>4326.21</v>
      </c>
      <c r="P291" s="3">
        <v>0.105693309322621</v>
      </c>
    </row>
    <row r="292" spans="1:16" x14ac:dyDescent="0.3">
      <c r="A292">
        <v>1036</v>
      </c>
      <c r="B292" s="2">
        <v>45192</v>
      </c>
      <c r="C292" s="1" t="s">
        <v>23</v>
      </c>
      <c r="D292" s="1" t="s">
        <v>30</v>
      </c>
      <c r="E292" s="1" t="s">
        <v>24</v>
      </c>
      <c r="F292" s="1" t="s">
        <v>15</v>
      </c>
      <c r="G292" s="1" t="s">
        <v>25</v>
      </c>
      <c r="H292" s="1" t="s">
        <v>29</v>
      </c>
      <c r="I292" s="4">
        <v>3549.43</v>
      </c>
      <c r="J292" s="4">
        <v>3967.69</v>
      </c>
      <c r="K292">
        <v>42</v>
      </c>
      <c r="L292" s="3">
        <v>0.14000000000000001</v>
      </c>
      <c r="M292" s="4">
        <v>149076.06</v>
      </c>
      <c r="N292" s="4">
        <v>166637.1</v>
      </c>
      <c r="O292" s="4">
        <v>17561.04</v>
      </c>
      <c r="P292" s="3">
        <v>0.10538493528752001</v>
      </c>
    </row>
    <row r="293" spans="1:16" x14ac:dyDescent="0.3">
      <c r="A293">
        <v>1093</v>
      </c>
      <c r="B293" s="2">
        <v>45192</v>
      </c>
      <c r="C293" s="1" t="s">
        <v>31</v>
      </c>
      <c r="D293" s="1" t="s">
        <v>30</v>
      </c>
      <c r="E293" s="1" t="s">
        <v>24</v>
      </c>
      <c r="F293" s="1" t="s">
        <v>15</v>
      </c>
      <c r="G293" s="1" t="s">
        <v>21</v>
      </c>
      <c r="H293" s="1" t="s">
        <v>17</v>
      </c>
      <c r="I293" s="4">
        <v>1047.25</v>
      </c>
      <c r="J293" s="4">
        <v>1075.8900000000001</v>
      </c>
      <c r="K293">
        <v>40</v>
      </c>
      <c r="L293" s="3">
        <v>0.28000000000000003</v>
      </c>
      <c r="M293" s="4">
        <v>41890</v>
      </c>
      <c r="N293" s="4">
        <v>43024.4</v>
      </c>
      <c r="O293" s="4">
        <v>1134.4000000000001</v>
      </c>
      <c r="P293" s="3">
        <v>2.63664339305138E-2</v>
      </c>
    </row>
    <row r="294" spans="1:16" x14ac:dyDescent="0.3">
      <c r="A294">
        <v>1100</v>
      </c>
      <c r="B294" s="2">
        <v>45192</v>
      </c>
      <c r="C294" s="1" t="s">
        <v>31</v>
      </c>
      <c r="D294" s="1" t="s">
        <v>30</v>
      </c>
      <c r="E294" s="1" t="s">
        <v>28</v>
      </c>
      <c r="F294" s="1" t="s">
        <v>15</v>
      </c>
      <c r="G294" s="1" t="s">
        <v>16</v>
      </c>
      <c r="H294" s="1" t="s">
        <v>17</v>
      </c>
      <c r="I294" s="4">
        <v>1820.89</v>
      </c>
      <c r="J294" s="4">
        <v>2257.92</v>
      </c>
      <c r="K294">
        <v>19</v>
      </c>
      <c r="L294" s="3">
        <v>0.12</v>
      </c>
      <c r="M294" s="4">
        <v>34596.910000000003</v>
      </c>
      <c r="N294" s="4">
        <v>42898.2</v>
      </c>
      <c r="O294" s="4">
        <v>8301.2900000000009</v>
      </c>
      <c r="P294" s="3">
        <v>0.19351138276198099</v>
      </c>
    </row>
    <row r="295" spans="1:16" x14ac:dyDescent="0.3">
      <c r="A295">
        <v>1015</v>
      </c>
      <c r="B295" s="2">
        <v>45191</v>
      </c>
      <c r="C295" s="1" t="s">
        <v>18</v>
      </c>
      <c r="D295" s="1" t="s">
        <v>27</v>
      </c>
      <c r="E295" s="1" t="s">
        <v>28</v>
      </c>
      <c r="F295" s="1" t="s">
        <v>20</v>
      </c>
      <c r="G295" s="1" t="s">
        <v>16</v>
      </c>
      <c r="H295" s="1" t="s">
        <v>17</v>
      </c>
      <c r="I295" s="4">
        <v>4275.59</v>
      </c>
      <c r="J295" s="4">
        <v>4576.72</v>
      </c>
      <c r="K295">
        <v>22</v>
      </c>
      <c r="L295" s="3">
        <v>0.02</v>
      </c>
      <c r="M295" s="4">
        <v>94062.98</v>
      </c>
      <c r="N295" s="4">
        <v>100687.4</v>
      </c>
      <c r="O295" s="4">
        <v>6624.42</v>
      </c>
      <c r="P295" s="3">
        <v>6.5791946162081796E-2</v>
      </c>
    </row>
    <row r="296" spans="1:16" x14ac:dyDescent="0.3">
      <c r="A296">
        <v>1015</v>
      </c>
      <c r="B296" s="2">
        <v>45190</v>
      </c>
      <c r="C296" s="1" t="s">
        <v>18</v>
      </c>
      <c r="D296" s="1" t="s">
        <v>27</v>
      </c>
      <c r="E296" s="1" t="s">
        <v>22</v>
      </c>
      <c r="F296" s="1" t="s">
        <v>20</v>
      </c>
      <c r="G296" s="1" t="s">
        <v>25</v>
      </c>
      <c r="H296" s="1" t="s">
        <v>17</v>
      </c>
      <c r="I296" s="4">
        <v>261.56</v>
      </c>
      <c r="J296" s="4">
        <v>371.4</v>
      </c>
      <c r="K296">
        <v>30</v>
      </c>
      <c r="L296" s="3">
        <v>0.2</v>
      </c>
      <c r="M296" s="4">
        <v>7846.8</v>
      </c>
      <c r="N296" s="4">
        <v>11136</v>
      </c>
      <c r="O296" s="4">
        <v>3289.2</v>
      </c>
      <c r="P296" s="3">
        <v>0.29536637931034498</v>
      </c>
    </row>
    <row r="297" spans="1:16" x14ac:dyDescent="0.3">
      <c r="A297">
        <v>1061</v>
      </c>
      <c r="B297" s="2">
        <v>45190</v>
      </c>
      <c r="C297" s="1" t="s">
        <v>31</v>
      </c>
      <c r="D297" s="1" t="s">
        <v>27</v>
      </c>
      <c r="E297" s="1" t="s">
        <v>22</v>
      </c>
      <c r="F297" s="1" t="s">
        <v>15</v>
      </c>
      <c r="G297" s="1" t="s">
        <v>16</v>
      </c>
      <c r="H297" s="1" t="s">
        <v>29</v>
      </c>
      <c r="I297" s="4">
        <v>2747.66</v>
      </c>
      <c r="J297" s="4">
        <v>3027.01</v>
      </c>
      <c r="K297">
        <v>25</v>
      </c>
      <c r="L297" s="3">
        <v>0.23</v>
      </c>
      <c r="M297" s="4">
        <v>68691.5</v>
      </c>
      <c r="N297" s="4">
        <v>75669.5</v>
      </c>
      <c r="O297" s="4">
        <v>6978</v>
      </c>
      <c r="P297" s="3">
        <v>9.2216811264776405E-2</v>
      </c>
    </row>
    <row r="298" spans="1:16" x14ac:dyDescent="0.3">
      <c r="A298">
        <v>1062</v>
      </c>
      <c r="B298" s="2">
        <v>45190</v>
      </c>
      <c r="C298" s="1" t="s">
        <v>18</v>
      </c>
      <c r="D298" s="1" t="s">
        <v>30</v>
      </c>
      <c r="E298" s="1" t="s">
        <v>28</v>
      </c>
      <c r="F298" s="1" t="s">
        <v>20</v>
      </c>
      <c r="G298" s="1" t="s">
        <v>21</v>
      </c>
      <c r="H298" s="1" t="s">
        <v>29</v>
      </c>
      <c r="I298" s="4">
        <v>4658.4399999999996</v>
      </c>
      <c r="J298" s="4">
        <v>4823.5</v>
      </c>
      <c r="K298">
        <v>37</v>
      </c>
      <c r="L298" s="3">
        <v>0.14000000000000001</v>
      </c>
      <c r="M298" s="4">
        <v>172362.28</v>
      </c>
      <c r="N298" s="4">
        <v>178464.32</v>
      </c>
      <c r="O298" s="4">
        <v>6102.04</v>
      </c>
      <c r="P298" s="3">
        <v>3.41919325947058E-2</v>
      </c>
    </row>
    <row r="299" spans="1:16" x14ac:dyDescent="0.3">
      <c r="A299">
        <v>1076</v>
      </c>
      <c r="B299" s="2">
        <v>45190</v>
      </c>
      <c r="C299" s="1" t="s">
        <v>23</v>
      </c>
      <c r="D299" s="1" t="s">
        <v>30</v>
      </c>
      <c r="E299" s="1" t="s">
        <v>28</v>
      </c>
      <c r="F299" s="1" t="s">
        <v>20</v>
      </c>
      <c r="G299" s="1" t="s">
        <v>21</v>
      </c>
      <c r="H299" s="1" t="s">
        <v>17</v>
      </c>
      <c r="I299" s="4">
        <v>1762</v>
      </c>
      <c r="J299" s="4">
        <v>2002.95</v>
      </c>
      <c r="K299">
        <v>26</v>
      </c>
      <c r="L299" s="3">
        <v>0.28999999999999998</v>
      </c>
      <c r="M299" s="4">
        <v>45812</v>
      </c>
      <c r="N299" s="4">
        <v>52069.16</v>
      </c>
      <c r="O299" s="4">
        <v>6257.16</v>
      </c>
      <c r="P299" s="3">
        <v>0.12017017366902</v>
      </c>
    </row>
    <row r="300" spans="1:16" x14ac:dyDescent="0.3">
      <c r="A300">
        <v>1084</v>
      </c>
      <c r="B300" s="2">
        <v>45190</v>
      </c>
      <c r="C300" s="1" t="s">
        <v>12</v>
      </c>
      <c r="D300" s="1" t="s">
        <v>27</v>
      </c>
      <c r="E300" s="1" t="s">
        <v>24</v>
      </c>
      <c r="F300" s="1" t="s">
        <v>15</v>
      </c>
      <c r="G300" s="1" t="s">
        <v>21</v>
      </c>
      <c r="H300" s="1" t="s">
        <v>29</v>
      </c>
      <c r="I300" s="4">
        <v>1458.77</v>
      </c>
      <c r="J300" s="4">
        <v>1485.75</v>
      </c>
      <c r="K300">
        <v>36</v>
      </c>
      <c r="L300" s="3">
        <v>0.25</v>
      </c>
      <c r="M300" s="4">
        <v>52515.72</v>
      </c>
      <c r="N300" s="4">
        <v>53478</v>
      </c>
      <c r="O300" s="4">
        <v>962.28</v>
      </c>
      <c r="P300" s="3">
        <v>1.79939414338607E-2</v>
      </c>
    </row>
    <row r="301" spans="1:16" x14ac:dyDescent="0.3">
      <c r="A301">
        <v>1097</v>
      </c>
      <c r="B301" s="2">
        <v>45189</v>
      </c>
      <c r="C301" s="1" t="s">
        <v>18</v>
      </c>
      <c r="D301" s="1" t="s">
        <v>30</v>
      </c>
      <c r="E301" s="1" t="s">
        <v>14</v>
      </c>
      <c r="F301" s="1" t="s">
        <v>20</v>
      </c>
      <c r="G301" s="1" t="s">
        <v>16</v>
      </c>
      <c r="H301" s="1" t="s">
        <v>17</v>
      </c>
      <c r="I301" s="4">
        <v>1525.13</v>
      </c>
      <c r="J301" s="4">
        <v>1868.32</v>
      </c>
      <c r="K301">
        <v>45</v>
      </c>
      <c r="L301" s="3">
        <v>0.24</v>
      </c>
      <c r="M301" s="4">
        <v>68630.850000000006</v>
      </c>
      <c r="N301" s="4">
        <v>84063.6</v>
      </c>
      <c r="O301" s="4">
        <v>15432.75</v>
      </c>
      <c r="P301" s="3">
        <v>0.183584214808788</v>
      </c>
    </row>
    <row r="302" spans="1:16" x14ac:dyDescent="0.3">
      <c r="A302">
        <v>1019</v>
      </c>
      <c r="B302" s="2">
        <v>45188</v>
      </c>
      <c r="C302" s="1" t="s">
        <v>31</v>
      </c>
      <c r="D302" s="1" t="s">
        <v>19</v>
      </c>
      <c r="E302" s="1" t="s">
        <v>14</v>
      </c>
      <c r="F302" s="1" t="s">
        <v>15</v>
      </c>
      <c r="G302" s="1" t="s">
        <v>25</v>
      </c>
      <c r="H302" s="1" t="s">
        <v>17</v>
      </c>
      <c r="I302" s="4">
        <v>2590.64</v>
      </c>
      <c r="J302" s="4">
        <v>3036.18</v>
      </c>
      <c r="K302">
        <v>45</v>
      </c>
      <c r="L302" s="3">
        <v>0.05</v>
      </c>
      <c r="M302" s="4">
        <v>116578.8</v>
      </c>
      <c r="N302" s="4">
        <v>136625.85</v>
      </c>
      <c r="O302" s="4">
        <v>20047.05</v>
      </c>
      <c r="P302" s="3">
        <v>0.14672955374111099</v>
      </c>
    </row>
    <row r="303" spans="1:16" x14ac:dyDescent="0.3">
      <c r="A303">
        <v>1025</v>
      </c>
      <c r="B303" s="2">
        <v>45188</v>
      </c>
      <c r="C303" s="1" t="s">
        <v>26</v>
      </c>
      <c r="D303" s="1" t="s">
        <v>13</v>
      </c>
      <c r="E303" s="1" t="s">
        <v>28</v>
      </c>
      <c r="F303" s="1" t="s">
        <v>20</v>
      </c>
      <c r="G303" s="1" t="s">
        <v>16</v>
      </c>
      <c r="H303" s="1" t="s">
        <v>29</v>
      </c>
      <c r="I303" s="4">
        <v>2007.32</v>
      </c>
      <c r="J303" s="4">
        <v>2202.87</v>
      </c>
      <c r="K303">
        <v>26</v>
      </c>
      <c r="L303" s="3">
        <v>0.11</v>
      </c>
      <c r="M303" s="4">
        <v>52190.32</v>
      </c>
      <c r="N303" s="4">
        <v>57271.76</v>
      </c>
      <c r="O303" s="4">
        <v>5081.4399999999996</v>
      </c>
      <c r="P303" s="3">
        <v>8.8725054023134603E-2</v>
      </c>
    </row>
    <row r="304" spans="1:16" x14ac:dyDescent="0.3">
      <c r="A304">
        <v>1037</v>
      </c>
      <c r="B304" s="2">
        <v>45188</v>
      </c>
      <c r="C304" s="1" t="s">
        <v>26</v>
      </c>
      <c r="D304" s="1" t="s">
        <v>27</v>
      </c>
      <c r="E304" s="1" t="s">
        <v>28</v>
      </c>
      <c r="F304" s="1" t="s">
        <v>15</v>
      </c>
      <c r="G304" s="1" t="s">
        <v>16</v>
      </c>
      <c r="H304" s="1" t="s">
        <v>29</v>
      </c>
      <c r="I304" s="4">
        <v>1308.58</v>
      </c>
      <c r="J304" s="4">
        <v>1575.59</v>
      </c>
      <c r="K304">
        <v>17</v>
      </c>
      <c r="L304" s="3">
        <v>0.3</v>
      </c>
      <c r="M304" s="4">
        <v>22245.86</v>
      </c>
      <c r="N304" s="4">
        <v>26779.93</v>
      </c>
      <c r="O304" s="4">
        <v>4534.07</v>
      </c>
      <c r="P304" s="3">
        <v>0.16930850827466701</v>
      </c>
    </row>
    <row r="305" spans="1:16" x14ac:dyDescent="0.3">
      <c r="A305">
        <v>1039</v>
      </c>
      <c r="B305" s="2">
        <v>45188</v>
      </c>
      <c r="C305" s="1" t="s">
        <v>23</v>
      </c>
      <c r="D305" s="1" t="s">
        <v>27</v>
      </c>
      <c r="E305" s="1" t="s">
        <v>14</v>
      </c>
      <c r="F305" s="1" t="s">
        <v>20</v>
      </c>
      <c r="G305" s="1" t="s">
        <v>16</v>
      </c>
      <c r="H305" s="1" t="s">
        <v>17</v>
      </c>
      <c r="I305" s="4">
        <v>666.84</v>
      </c>
      <c r="J305" s="4">
        <v>817.36</v>
      </c>
      <c r="K305">
        <v>28</v>
      </c>
      <c r="L305" s="3">
        <v>0.02</v>
      </c>
      <c r="M305" s="4">
        <v>18671.52</v>
      </c>
      <c r="N305" s="4">
        <v>22885.52</v>
      </c>
      <c r="O305" s="4">
        <v>4214</v>
      </c>
      <c r="P305" s="3">
        <v>0.18413389776592401</v>
      </c>
    </row>
    <row r="306" spans="1:16" x14ac:dyDescent="0.3">
      <c r="A306">
        <v>1006</v>
      </c>
      <c r="B306" s="2">
        <v>45187</v>
      </c>
      <c r="C306" s="1" t="s">
        <v>18</v>
      </c>
      <c r="D306" s="1" t="s">
        <v>19</v>
      </c>
      <c r="E306" s="1" t="s">
        <v>24</v>
      </c>
      <c r="F306" s="1" t="s">
        <v>15</v>
      </c>
      <c r="G306" s="1" t="s">
        <v>25</v>
      </c>
      <c r="H306" s="1" t="s">
        <v>17</v>
      </c>
      <c r="I306" s="4">
        <v>1623.63</v>
      </c>
      <c r="J306" s="4">
        <v>1814.63</v>
      </c>
      <c r="K306">
        <v>45</v>
      </c>
      <c r="L306" s="3">
        <v>0.28999999999999998</v>
      </c>
      <c r="M306" s="4">
        <v>73063.350000000006</v>
      </c>
      <c r="N306" s="4">
        <v>81645.3</v>
      </c>
      <c r="O306" s="4">
        <v>8581.9500000000007</v>
      </c>
      <c r="P306" s="3">
        <v>0.105112602929991</v>
      </c>
    </row>
    <row r="307" spans="1:16" x14ac:dyDescent="0.3">
      <c r="A307">
        <v>1008</v>
      </c>
      <c r="B307" s="2">
        <v>45187</v>
      </c>
      <c r="C307" s="1" t="s">
        <v>31</v>
      </c>
      <c r="D307" s="1" t="s">
        <v>27</v>
      </c>
      <c r="E307" s="1" t="s">
        <v>22</v>
      </c>
      <c r="F307" s="1" t="s">
        <v>15</v>
      </c>
      <c r="G307" s="1" t="s">
        <v>21</v>
      </c>
      <c r="H307" s="1" t="s">
        <v>29</v>
      </c>
      <c r="I307" s="4">
        <v>921.32</v>
      </c>
      <c r="J307" s="4">
        <v>1236.0999999999999</v>
      </c>
      <c r="K307">
        <v>32</v>
      </c>
      <c r="L307" s="3">
        <v>0.12</v>
      </c>
      <c r="M307" s="4">
        <v>29482.240000000002</v>
      </c>
      <c r="N307" s="4">
        <v>39551.360000000001</v>
      </c>
      <c r="O307" s="4">
        <v>10069.120000000001</v>
      </c>
      <c r="P307" s="3">
        <v>0.254583407498503</v>
      </c>
    </row>
    <row r="308" spans="1:16" x14ac:dyDescent="0.3">
      <c r="A308">
        <v>1057</v>
      </c>
      <c r="B308" s="2">
        <v>45187</v>
      </c>
      <c r="C308" s="1" t="s">
        <v>31</v>
      </c>
      <c r="D308" s="1" t="s">
        <v>19</v>
      </c>
      <c r="E308" s="1" t="s">
        <v>22</v>
      </c>
      <c r="F308" s="1" t="s">
        <v>15</v>
      </c>
      <c r="G308" s="1" t="s">
        <v>25</v>
      </c>
      <c r="H308" s="1" t="s">
        <v>17</v>
      </c>
      <c r="I308" s="4">
        <v>1821.91</v>
      </c>
      <c r="J308" s="4">
        <v>2027.74</v>
      </c>
      <c r="K308">
        <v>25</v>
      </c>
      <c r="L308" s="3">
        <v>0.02</v>
      </c>
      <c r="M308" s="4">
        <v>45547.75</v>
      </c>
      <c r="N308" s="4">
        <v>50693</v>
      </c>
      <c r="O308" s="4">
        <v>5145.25</v>
      </c>
      <c r="P308" s="3">
        <v>0.101498234470242</v>
      </c>
    </row>
    <row r="309" spans="1:16" x14ac:dyDescent="0.3">
      <c r="A309">
        <v>1085</v>
      </c>
      <c r="B309" s="2">
        <v>45187</v>
      </c>
      <c r="C309" s="1" t="s">
        <v>12</v>
      </c>
      <c r="D309" s="1" t="s">
        <v>13</v>
      </c>
      <c r="E309" s="1" t="s">
        <v>14</v>
      </c>
      <c r="F309" s="1" t="s">
        <v>15</v>
      </c>
      <c r="G309" s="1" t="s">
        <v>25</v>
      </c>
      <c r="H309" s="1" t="s">
        <v>17</v>
      </c>
      <c r="I309" s="4">
        <v>4083.23</v>
      </c>
      <c r="J309" s="4">
        <v>4521.57</v>
      </c>
      <c r="K309">
        <v>40</v>
      </c>
      <c r="L309" s="3">
        <v>0.27</v>
      </c>
      <c r="M309" s="4">
        <v>163329.20000000001</v>
      </c>
      <c r="N309" s="4">
        <v>180852</v>
      </c>
      <c r="O309" s="4">
        <v>17522.8</v>
      </c>
      <c r="P309" s="3">
        <v>9.6890274920929803E-2</v>
      </c>
    </row>
    <row r="310" spans="1:16" x14ac:dyDescent="0.3">
      <c r="A310">
        <v>1093</v>
      </c>
      <c r="B310" s="2">
        <v>45187</v>
      </c>
      <c r="C310" s="1" t="s">
        <v>18</v>
      </c>
      <c r="D310" s="1" t="s">
        <v>19</v>
      </c>
      <c r="E310" s="1" t="s">
        <v>28</v>
      </c>
      <c r="F310" s="1" t="s">
        <v>15</v>
      </c>
      <c r="G310" s="1" t="s">
        <v>21</v>
      </c>
      <c r="H310" s="1" t="s">
        <v>29</v>
      </c>
      <c r="I310" s="4">
        <v>3808.59</v>
      </c>
      <c r="J310" s="4">
        <v>3844.51</v>
      </c>
      <c r="K310">
        <v>19</v>
      </c>
      <c r="L310" s="3">
        <v>0.21</v>
      </c>
      <c r="M310" s="4">
        <v>72363.210000000006</v>
      </c>
      <c r="N310" s="4">
        <v>73041.7</v>
      </c>
      <c r="O310" s="4">
        <v>678.49</v>
      </c>
      <c r="P310" s="3">
        <v>9.2890773352756004E-3</v>
      </c>
    </row>
    <row r="311" spans="1:16" x14ac:dyDescent="0.3">
      <c r="A311">
        <v>1100</v>
      </c>
      <c r="B311" s="2">
        <v>45186</v>
      </c>
      <c r="C311" s="1" t="s">
        <v>31</v>
      </c>
      <c r="D311" s="1" t="s">
        <v>30</v>
      </c>
      <c r="E311" s="1" t="s">
        <v>28</v>
      </c>
      <c r="F311" s="1" t="s">
        <v>15</v>
      </c>
      <c r="G311" s="1" t="s">
        <v>21</v>
      </c>
      <c r="H311" s="1" t="s">
        <v>29</v>
      </c>
      <c r="I311" s="4">
        <v>83.64</v>
      </c>
      <c r="J311" s="4">
        <v>528.49</v>
      </c>
      <c r="K311">
        <v>17</v>
      </c>
      <c r="L311" s="3">
        <v>0.13</v>
      </c>
      <c r="M311" s="4">
        <v>1421.88</v>
      </c>
      <c r="N311" s="4">
        <v>8982.1200000000008</v>
      </c>
      <c r="O311" s="4">
        <v>7560.24</v>
      </c>
      <c r="P311" s="3">
        <v>0.84169884169884202</v>
      </c>
    </row>
    <row r="312" spans="1:16" x14ac:dyDescent="0.3">
      <c r="A312">
        <v>1006</v>
      </c>
      <c r="B312" s="2">
        <v>45185</v>
      </c>
      <c r="C312" s="1" t="s">
        <v>23</v>
      </c>
      <c r="D312" s="1" t="s">
        <v>30</v>
      </c>
      <c r="E312" s="1" t="s">
        <v>22</v>
      </c>
      <c r="F312" s="1" t="s">
        <v>15</v>
      </c>
      <c r="G312" s="1" t="s">
        <v>16</v>
      </c>
      <c r="H312" s="1" t="s">
        <v>17</v>
      </c>
      <c r="I312" s="4">
        <v>2843.76</v>
      </c>
      <c r="J312" s="4">
        <v>3146.6</v>
      </c>
      <c r="K312">
        <v>49</v>
      </c>
      <c r="L312" s="3">
        <v>0.08</v>
      </c>
      <c r="M312" s="4">
        <v>139344.24</v>
      </c>
      <c r="N312" s="4">
        <v>154179.48000000001</v>
      </c>
      <c r="O312" s="4">
        <v>14835.24</v>
      </c>
      <c r="P312" s="3">
        <v>9.6220586552762999E-2</v>
      </c>
    </row>
    <row r="313" spans="1:16" x14ac:dyDescent="0.3">
      <c r="A313">
        <v>1012</v>
      </c>
      <c r="B313" s="2">
        <v>45185</v>
      </c>
      <c r="C313" s="1" t="s">
        <v>18</v>
      </c>
      <c r="D313" s="1" t="s">
        <v>27</v>
      </c>
      <c r="E313" s="1" t="s">
        <v>28</v>
      </c>
      <c r="F313" s="1" t="s">
        <v>15</v>
      </c>
      <c r="G313" s="1" t="s">
        <v>16</v>
      </c>
      <c r="H313" s="1" t="s">
        <v>17</v>
      </c>
      <c r="I313" s="4">
        <v>1427.42</v>
      </c>
      <c r="J313" s="4">
        <v>1763.69</v>
      </c>
      <c r="K313">
        <v>19</v>
      </c>
      <c r="L313" s="3">
        <v>0.03</v>
      </c>
      <c r="M313" s="4">
        <v>27120.98</v>
      </c>
      <c r="N313" s="4">
        <v>33509.54</v>
      </c>
      <c r="O313" s="4">
        <v>6388.56</v>
      </c>
      <c r="P313" s="3">
        <v>0.19064899130217799</v>
      </c>
    </row>
    <row r="314" spans="1:16" x14ac:dyDescent="0.3">
      <c r="A314">
        <v>1054</v>
      </c>
      <c r="B314" s="2">
        <v>45184</v>
      </c>
      <c r="C314" s="1" t="s">
        <v>23</v>
      </c>
      <c r="D314" s="1" t="s">
        <v>27</v>
      </c>
      <c r="E314" s="1" t="s">
        <v>28</v>
      </c>
      <c r="F314" s="1" t="s">
        <v>20</v>
      </c>
      <c r="G314" s="1" t="s">
        <v>21</v>
      </c>
      <c r="H314" s="1" t="s">
        <v>17</v>
      </c>
      <c r="I314" s="4">
        <v>4557.79</v>
      </c>
      <c r="J314" s="4">
        <v>5043.3599999999997</v>
      </c>
      <c r="K314">
        <v>16</v>
      </c>
      <c r="L314" s="3">
        <v>0.14000000000000001</v>
      </c>
      <c r="M314" s="4">
        <v>72924.639999999999</v>
      </c>
      <c r="N314" s="4">
        <v>80691.520000000004</v>
      </c>
      <c r="O314" s="4">
        <v>7766.88</v>
      </c>
      <c r="P314" s="3">
        <v>9.6253980591764807E-2</v>
      </c>
    </row>
    <row r="315" spans="1:16" x14ac:dyDescent="0.3">
      <c r="A315">
        <v>1001</v>
      </c>
      <c r="B315" s="2">
        <v>45183</v>
      </c>
      <c r="C315" s="1" t="s">
        <v>12</v>
      </c>
      <c r="D315" s="1" t="s">
        <v>27</v>
      </c>
      <c r="E315" s="1" t="s">
        <v>22</v>
      </c>
      <c r="F315" s="1" t="s">
        <v>20</v>
      </c>
      <c r="G315" s="1" t="s">
        <v>16</v>
      </c>
      <c r="H315" s="1" t="s">
        <v>29</v>
      </c>
      <c r="I315" s="4">
        <v>2437.2600000000002</v>
      </c>
      <c r="J315" s="4">
        <v>2889.67</v>
      </c>
      <c r="K315">
        <v>39</v>
      </c>
      <c r="L315" s="3">
        <v>0.25</v>
      </c>
      <c r="M315" s="4">
        <v>95053.14</v>
      </c>
      <c r="N315" s="4">
        <v>112687.38</v>
      </c>
      <c r="O315" s="4">
        <v>17634.240000000002</v>
      </c>
      <c r="P315" s="3">
        <v>0.15648815333181099</v>
      </c>
    </row>
    <row r="316" spans="1:16" x14ac:dyDescent="0.3">
      <c r="A316">
        <v>1003</v>
      </c>
      <c r="B316" s="2">
        <v>45183</v>
      </c>
      <c r="C316" s="1" t="s">
        <v>23</v>
      </c>
      <c r="D316" s="1" t="s">
        <v>19</v>
      </c>
      <c r="E316" s="1" t="s">
        <v>14</v>
      </c>
      <c r="F316" s="1" t="s">
        <v>20</v>
      </c>
      <c r="G316" s="1" t="s">
        <v>21</v>
      </c>
      <c r="H316" s="1" t="s">
        <v>17</v>
      </c>
      <c r="I316" s="4">
        <v>3286.24</v>
      </c>
      <c r="J316" s="4">
        <v>3388.84</v>
      </c>
      <c r="K316">
        <v>15</v>
      </c>
      <c r="L316" s="3">
        <v>0.09</v>
      </c>
      <c r="M316" s="4">
        <v>49293.599999999999</v>
      </c>
      <c r="N316" s="4">
        <v>50831.25</v>
      </c>
      <c r="O316" s="4">
        <v>1537.65</v>
      </c>
      <c r="P316" s="3">
        <v>3.0250092216894099E-2</v>
      </c>
    </row>
    <row r="317" spans="1:16" x14ac:dyDescent="0.3">
      <c r="A317">
        <v>1074</v>
      </c>
      <c r="B317" s="2">
        <v>45183</v>
      </c>
      <c r="C317" s="1" t="s">
        <v>18</v>
      </c>
      <c r="D317" s="1" t="s">
        <v>27</v>
      </c>
      <c r="E317" s="1" t="s">
        <v>24</v>
      </c>
      <c r="F317" s="1" t="s">
        <v>20</v>
      </c>
      <c r="G317" s="1" t="s">
        <v>16</v>
      </c>
      <c r="H317" s="1" t="s">
        <v>29</v>
      </c>
      <c r="I317" s="4">
        <v>173.67</v>
      </c>
      <c r="J317" s="4">
        <v>565.62</v>
      </c>
      <c r="K317">
        <v>29</v>
      </c>
      <c r="L317" s="3">
        <v>0.3</v>
      </c>
      <c r="M317" s="4">
        <v>5036.43</v>
      </c>
      <c r="N317" s="4">
        <v>16394.28</v>
      </c>
      <c r="O317" s="4">
        <v>11357.85</v>
      </c>
      <c r="P317" s="3">
        <v>0.69279346210995596</v>
      </c>
    </row>
    <row r="318" spans="1:16" x14ac:dyDescent="0.3">
      <c r="A318">
        <v>1090</v>
      </c>
      <c r="B318" s="2">
        <v>45183</v>
      </c>
      <c r="C318" s="1" t="s">
        <v>31</v>
      </c>
      <c r="D318" s="1" t="s">
        <v>19</v>
      </c>
      <c r="E318" s="1" t="s">
        <v>14</v>
      </c>
      <c r="F318" s="1" t="s">
        <v>15</v>
      </c>
      <c r="G318" s="1" t="s">
        <v>25</v>
      </c>
      <c r="H318" s="1" t="s">
        <v>29</v>
      </c>
      <c r="I318" s="4">
        <v>2357.9499999999998</v>
      </c>
      <c r="J318" s="4">
        <v>2693.33</v>
      </c>
      <c r="K318">
        <v>47</v>
      </c>
      <c r="L318" s="3">
        <v>0.18</v>
      </c>
      <c r="M318" s="4">
        <v>110823.65</v>
      </c>
      <c r="N318" s="4">
        <v>126578.05</v>
      </c>
      <c r="O318" s="4">
        <v>15754.4</v>
      </c>
      <c r="P318" s="3">
        <v>0.124463917717171</v>
      </c>
    </row>
    <row r="319" spans="1:16" x14ac:dyDescent="0.3">
      <c r="A319">
        <v>1037</v>
      </c>
      <c r="B319" s="2">
        <v>45182</v>
      </c>
      <c r="C319" s="1" t="s">
        <v>23</v>
      </c>
      <c r="D319" s="1" t="s">
        <v>27</v>
      </c>
      <c r="E319" s="1" t="s">
        <v>24</v>
      </c>
      <c r="F319" s="1" t="s">
        <v>20</v>
      </c>
      <c r="G319" s="1" t="s">
        <v>21</v>
      </c>
      <c r="H319" s="1" t="s">
        <v>29</v>
      </c>
      <c r="I319" s="4">
        <v>1941.56</v>
      </c>
      <c r="J319" s="4">
        <v>2385.48</v>
      </c>
      <c r="K319">
        <v>5</v>
      </c>
      <c r="L319" s="3">
        <v>0.15</v>
      </c>
      <c r="M319" s="4">
        <v>9707.7999999999993</v>
      </c>
      <c r="N319" s="4">
        <v>11926.65</v>
      </c>
      <c r="O319" s="4">
        <v>2218.85</v>
      </c>
      <c r="P319" s="3">
        <v>0.18604134438421499</v>
      </c>
    </row>
    <row r="320" spans="1:16" x14ac:dyDescent="0.3">
      <c r="A320">
        <v>1014</v>
      </c>
      <c r="B320" s="2">
        <v>45181</v>
      </c>
      <c r="C320" s="1" t="s">
        <v>31</v>
      </c>
      <c r="D320" s="1" t="s">
        <v>13</v>
      </c>
      <c r="E320" s="1" t="s">
        <v>24</v>
      </c>
      <c r="F320" s="1" t="s">
        <v>20</v>
      </c>
      <c r="G320" s="1" t="s">
        <v>25</v>
      </c>
      <c r="H320" s="1" t="s">
        <v>17</v>
      </c>
      <c r="I320" s="4">
        <v>556.72</v>
      </c>
      <c r="J320" s="4">
        <v>665.07</v>
      </c>
      <c r="K320">
        <v>48</v>
      </c>
      <c r="L320" s="3">
        <v>0.01</v>
      </c>
      <c r="M320" s="4">
        <v>26722.560000000001</v>
      </c>
      <c r="N320" s="4">
        <v>31922.880000000001</v>
      </c>
      <c r="O320" s="4">
        <v>5200.32</v>
      </c>
      <c r="P320" s="3">
        <v>0.16290259525456399</v>
      </c>
    </row>
    <row r="321" spans="1:16" x14ac:dyDescent="0.3">
      <c r="A321">
        <v>1003</v>
      </c>
      <c r="B321" s="2">
        <v>45180</v>
      </c>
      <c r="C321" s="1" t="s">
        <v>18</v>
      </c>
      <c r="D321" s="1" t="s">
        <v>13</v>
      </c>
      <c r="E321" s="1" t="s">
        <v>22</v>
      </c>
      <c r="F321" s="1" t="s">
        <v>15</v>
      </c>
      <c r="G321" s="1" t="s">
        <v>25</v>
      </c>
      <c r="H321" s="1" t="s">
        <v>29</v>
      </c>
      <c r="I321" s="4">
        <v>4218.43</v>
      </c>
      <c r="J321" s="4">
        <v>4331.42</v>
      </c>
      <c r="K321">
        <v>22</v>
      </c>
      <c r="L321" s="3">
        <v>0.26</v>
      </c>
      <c r="M321" s="4">
        <v>92805.46</v>
      </c>
      <c r="N321" s="4">
        <v>95285.52</v>
      </c>
      <c r="O321" s="4">
        <v>2480.06</v>
      </c>
      <c r="P321" s="3">
        <v>2.60276692618144E-2</v>
      </c>
    </row>
    <row r="322" spans="1:16" x14ac:dyDescent="0.3">
      <c r="A322">
        <v>1096</v>
      </c>
      <c r="B322" s="2">
        <v>45180</v>
      </c>
      <c r="C322" s="1" t="s">
        <v>12</v>
      </c>
      <c r="D322" s="1" t="s">
        <v>27</v>
      </c>
      <c r="E322" s="1" t="s">
        <v>28</v>
      </c>
      <c r="F322" s="1" t="s">
        <v>15</v>
      </c>
      <c r="G322" s="1" t="s">
        <v>16</v>
      </c>
      <c r="H322" s="1" t="s">
        <v>17</v>
      </c>
      <c r="I322" s="4">
        <v>608.57000000000005</v>
      </c>
      <c r="J322" s="4">
        <v>1032.22</v>
      </c>
      <c r="K322">
        <v>23</v>
      </c>
      <c r="L322" s="3">
        <v>0.25</v>
      </c>
      <c r="M322" s="4">
        <v>13997.11</v>
      </c>
      <c r="N322" s="4">
        <v>23735.31</v>
      </c>
      <c r="O322" s="4">
        <v>9738.2000000000007</v>
      </c>
      <c r="P322" s="3">
        <v>0.41028324466796501</v>
      </c>
    </row>
    <row r="323" spans="1:16" x14ac:dyDescent="0.3">
      <c r="A323">
        <v>1005</v>
      </c>
      <c r="B323" s="2">
        <v>45177</v>
      </c>
      <c r="C323" s="1" t="s">
        <v>12</v>
      </c>
      <c r="D323" s="1" t="s">
        <v>30</v>
      </c>
      <c r="E323" s="1" t="s">
        <v>28</v>
      </c>
      <c r="F323" s="1" t="s">
        <v>15</v>
      </c>
      <c r="G323" s="1" t="s">
        <v>16</v>
      </c>
      <c r="H323" s="1" t="s">
        <v>29</v>
      </c>
      <c r="I323" s="4">
        <v>4737.0600000000004</v>
      </c>
      <c r="J323" s="4">
        <v>4869.5</v>
      </c>
      <c r="K323">
        <v>9</v>
      </c>
      <c r="L323" s="3">
        <v>7.0000000000000007E-2</v>
      </c>
      <c r="M323" s="4">
        <v>42633.54</v>
      </c>
      <c r="N323" s="4">
        <v>43824.87</v>
      </c>
      <c r="O323" s="4">
        <v>1191.33</v>
      </c>
      <c r="P323" s="3">
        <v>2.7183879838091899E-2</v>
      </c>
    </row>
    <row r="324" spans="1:16" x14ac:dyDescent="0.3">
      <c r="A324">
        <v>1020</v>
      </c>
      <c r="B324" s="2">
        <v>45177</v>
      </c>
      <c r="C324" s="1" t="s">
        <v>12</v>
      </c>
      <c r="D324" s="1" t="s">
        <v>30</v>
      </c>
      <c r="E324" s="1" t="s">
        <v>14</v>
      </c>
      <c r="F324" s="1" t="s">
        <v>15</v>
      </c>
      <c r="G324" s="1" t="s">
        <v>21</v>
      </c>
      <c r="H324" s="1" t="s">
        <v>17</v>
      </c>
      <c r="I324" s="4">
        <v>4472.3500000000004</v>
      </c>
      <c r="J324" s="4">
        <v>4770.42</v>
      </c>
      <c r="K324">
        <v>26</v>
      </c>
      <c r="L324" s="3">
        <v>0.01</v>
      </c>
      <c r="M324" s="4">
        <v>116281.1</v>
      </c>
      <c r="N324" s="4">
        <v>124030.66</v>
      </c>
      <c r="O324" s="4">
        <v>7749.56</v>
      </c>
      <c r="P324" s="3">
        <v>6.24810026811113E-2</v>
      </c>
    </row>
    <row r="325" spans="1:16" x14ac:dyDescent="0.3">
      <c r="A325">
        <v>1046</v>
      </c>
      <c r="B325" s="2">
        <v>45177</v>
      </c>
      <c r="C325" s="1" t="s">
        <v>26</v>
      </c>
      <c r="D325" s="1" t="s">
        <v>30</v>
      </c>
      <c r="E325" s="1" t="s">
        <v>24</v>
      </c>
      <c r="F325" s="1" t="s">
        <v>20</v>
      </c>
      <c r="G325" s="1" t="s">
        <v>16</v>
      </c>
      <c r="H325" s="1" t="s">
        <v>17</v>
      </c>
      <c r="I325" s="4">
        <v>320.73</v>
      </c>
      <c r="J325" s="4">
        <v>678.04</v>
      </c>
      <c r="K325">
        <v>30</v>
      </c>
      <c r="L325" s="3">
        <v>0.08</v>
      </c>
      <c r="M325" s="4">
        <v>9621.9</v>
      </c>
      <c r="N325" s="4">
        <v>20338.8</v>
      </c>
      <c r="O325" s="4">
        <v>10716.9</v>
      </c>
      <c r="P325" s="3">
        <v>0.52691899227092998</v>
      </c>
    </row>
    <row r="326" spans="1:16" x14ac:dyDescent="0.3">
      <c r="A326">
        <v>1087</v>
      </c>
      <c r="B326" s="2">
        <v>45177</v>
      </c>
      <c r="C326" s="1" t="s">
        <v>31</v>
      </c>
      <c r="D326" s="1" t="s">
        <v>30</v>
      </c>
      <c r="E326" s="1" t="s">
        <v>14</v>
      </c>
      <c r="F326" s="1" t="s">
        <v>15</v>
      </c>
      <c r="G326" s="1" t="s">
        <v>16</v>
      </c>
      <c r="H326" s="1" t="s">
        <v>29</v>
      </c>
      <c r="I326" s="4">
        <v>193.27</v>
      </c>
      <c r="J326" s="4">
        <v>297.69</v>
      </c>
      <c r="K326">
        <v>20</v>
      </c>
      <c r="L326" s="3">
        <v>0.22</v>
      </c>
      <c r="M326" s="4">
        <v>3865.4</v>
      </c>
      <c r="N326" s="4">
        <v>5949.4</v>
      </c>
      <c r="O326" s="4">
        <v>2084</v>
      </c>
      <c r="P326" s="3">
        <v>0.35028742394190998</v>
      </c>
    </row>
    <row r="327" spans="1:16" x14ac:dyDescent="0.3">
      <c r="A327">
        <v>1089</v>
      </c>
      <c r="B327" s="2">
        <v>45177</v>
      </c>
      <c r="C327" s="1" t="s">
        <v>23</v>
      </c>
      <c r="D327" s="1" t="s">
        <v>19</v>
      </c>
      <c r="E327" s="1" t="s">
        <v>24</v>
      </c>
      <c r="F327" s="1" t="s">
        <v>15</v>
      </c>
      <c r="G327" s="1" t="s">
        <v>21</v>
      </c>
      <c r="H327" s="1" t="s">
        <v>29</v>
      </c>
      <c r="I327" s="4">
        <v>4089.66</v>
      </c>
      <c r="J327" s="4">
        <v>4275.96</v>
      </c>
      <c r="K327">
        <v>40</v>
      </c>
      <c r="L327" s="3">
        <v>0.23</v>
      </c>
      <c r="M327" s="4">
        <v>163586.4</v>
      </c>
      <c r="N327" s="4">
        <v>171029.2</v>
      </c>
      <c r="O327" s="4">
        <v>7442.8</v>
      </c>
      <c r="P327" s="3">
        <v>4.3517715103619702E-2</v>
      </c>
    </row>
    <row r="328" spans="1:16" x14ac:dyDescent="0.3">
      <c r="A328">
        <v>1013</v>
      </c>
      <c r="B328" s="2">
        <v>45176</v>
      </c>
      <c r="C328" s="1" t="s">
        <v>26</v>
      </c>
      <c r="D328" s="1" t="s">
        <v>19</v>
      </c>
      <c r="E328" s="1" t="s">
        <v>24</v>
      </c>
      <c r="F328" s="1" t="s">
        <v>20</v>
      </c>
      <c r="G328" s="1" t="s">
        <v>25</v>
      </c>
      <c r="H328" s="1" t="s">
        <v>29</v>
      </c>
      <c r="I328" s="4">
        <v>919.58</v>
      </c>
      <c r="J328" s="4">
        <v>1258.3</v>
      </c>
      <c r="K328">
        <v>16</v>
      </c>
      <c r="L328" s="3">
        <v>0.14000000000000001</v>
      </c>
      <c r="M328" s="4">
        <v>14713.28</v>
      </c>
      <c r="N328" s="4">
        <v>20130.560000000001</v>
      </c>
      <c r="O328" s="4">
        <v>5417.28</v>
      </c>
      <c r="P328" s="3">
        <v>0.26910726775608801</v>
      </c>
    </row>
    <row r="329" spans="1:16" x14ac:dyDescent="0.3">
      <c r="A329">
        <v>1019</v>
      </c>
      <c r="B329" s="2">
        <v>45176</v>
      </c>
      <c r="C329" s="1" t="s">
        <v>23</v>
      </c>
      <c r="D329" s="1" t="s">
        <v>19</v>
      </c>
      <c r="E329" s="1" t="s">
        <v>28</v>
      </c>
      <c r="F329" s="1" t="s">
        <v>20</v>
      </c>
      <c r="G329" s="1" t="s">
        <v>16</v>
      </c>
      <c r="H329" s="1" t="s">
        <v>29</v>
      </c>
      <c r="I329" s="4">
        <v>2387.52</v>
      </c>
      <c r="J329" s="4">
        <v>2604.06</v>
      </c>
      <c r="K329">
        <v>27</v>
      </c>
      <c r="L329" s="3">
        <v>0.16</v>
      </c>
      <c r="M329" s="4">
        <v>64463.040000000001</v>
      </c>
      <c r="N329" s="4">
        <v>70305.3</v>
      </c>
      <c r="O329" s="4">
        <v>5842.26</v>
      </c>
      <c r="P329" s="3">
        <v>8.3098429279158198E-2</v>
      </c>
    </row>
    <row r="330" spans="1:16" x14ac:dyDescent="0.3">
      <c r="A330">
        <v>1067</v>
      </c>
      <c r="B330" s="2">
        <v>45176</v>
      </c>
      <c r="C330" s="1" t="s">
        <v>23</v>
      </c>
      <c r="D330" s="1" t="s">
        <v>30</v>
      </c>
      <c r="E330" s="1" t="s">
        <v>14</v>
      </c>
      <c r="F330" s="1" t="s">
        <v>15</v>
      </c>
      <c r="G330" s="1" t="s">
        <v>25</v>
      </c>
      <c r="H330" s="1" t="s">
        <v>17</v>
      </c>
      <c r="I330" s="4">
        <v>1754.32</v>
      </c>
      <c r="J330" s="4">
        <v>1856.4</v>
      </c>
      <c r="K330">
        <v>37</v>
      </c>
      <c r="L330" s="3">
        <v>0.21</v>
      </c>
      <c r="M330" s="4">
        <v>64909.84</v>
      </c>
      <c r="N330" s="4">
        <v>68679.03</v>
      </c>
      <c r="O330" s="4">
        <v>3769.19</v>
      </c>
      <c r="P330" s="3">
        <v>5.48812352183774E-2</v>
      </c>
    </row>
    <row r="331" spans="1:16" x14ac:dyDescent="0.3">
      <c r="A331">
        <v>1020</v>
      </c>
      <c r="B331" s="2">
        <v>45175</v>
      </c>
      <c r="C331" s="1" t="s">
        <v>31</v>
      </c>
      <c r="D331" s="1" t="s">
        <v>13</v>
      </c>
      <c r="E331" s="1" t="s">
        <v>14</v>
      </c>
      <c r="F331" s="1" t="s">
        <v>15</v>
      </c>
      <c r="G331" s="1" t="s">
        <v>25</v>
      </c>
      <c r="H331" s="1" t="s">
        <v>17</v>
      </c>
      <c r="I331" s="4">
        <v>3730</v>
      </c>
      <c r="J331" s="4">
        <v>3893.6</v>
      </c>
      <c r="K331">
        <v>4</v>
      </c>
      <c r="L331" s="3">
        <v>0.25</v>
      </c>
      <c r="M331" s="4">
        <v>14920</v>
      </c>
      <c r="N331" s="4">
        <v>15573.4</v>
      </c>
      <c r="O331" s="4">
        <v>653.4</v>
      </c>
      <c r="P331" s="3">
        <v>4.1956156009606102E-2</v>
      </c>
    </row>
    <row r="332" spans="1:16" x14ac:dyDescent="0.3">
      <c r="A332">
        <v>1020</v>
      </c>
      <c r="B332" s="2">
        <v>45175</v>
      </c>
      <c r="C332" s="1" t="s">
        <v>23</v>
      </c>
      <c r="D332" s="1" t="s">
        <v>13</v>
      </c>
      <c r="E332" s="1" t="s">
        <v>14</v>
      </c>
      <c r="F332" s="1" t="s">
        <v>15</v>
      </c>
      <c r="G332" s="1" t="s">
        <v>25</v>
      </c>
      <c r="H332" s="1" t="s">
        <v>17</v>
      </c>
      <c r="I332" s="4">
        <v>2188.4499999999998</v>
      </c>
      <c r="J332" s="4">
        <v>2255.0500000000002</v>
      </c>
      <c r="K332">
        <v>45</v>
      </c>
      <c r="L332" s="3">
        <v>0.11</v>
      </c>
      <c r="M332" s="4">
        <v>98480.25</v>
      </c>
      <c r="N332" s="4">
        <v>101472.3</v>
      </c>
      <c r="O332" s="4">
        <v>2992.05</v>
      </c>
      <c r="P332" s="3">
        <v>2.9486372142939501E-2</v>
      </c>
    </row>
    <row r="333" spans="1:16" x14ac:dyDescent="0.3">
      <c r="A333">
        <v>1068</v>
      </c>
      <c r="B333" s="2">
        <v>45173</v>
      </c>
      <c r="C333" s="1" t="s">
        <v>12</v>
      </c>
      <c r="D333" s="1" t="s">
        <v>13</v>
      </c>
      <c r="E333" s="1" t="s">
        <v>22</v>
      </c>
      <c r="F333" s="1" t="s">
        <v>20</v>
      </c>
      <c r="G333" s="1" t="s">
        <v>25</v>
      </c>
      <c r="H333" s="1" t="s">
        <v>29</v>
      </c>
      <c r="I333" s="4">
        <v>1140.58</v>
      </c>
      <c r="J333" s="4">
        <v>1438.76</v>
      </c>
      <c r="K333">
        <v>14</v>
      </c>
      <c r="L333" s="3">
        <v>0.03</v>
      </c>
      <c r="M333" s="4">
        <v>15968.12</v>
      </c>
      <c r="N333" s="4">
        <v>20142.22</v>
      </c>
      <c r="O333" s="4">
        <v>4174.1000000000004</v>
      </c>
      <c r="P333" s="3">
        <v>0.207231377673365</v>
      </c>
    </row>
    <row r="334" spans="1:16" x14ac:dyDescent="0.3">
      <c r="A334">
        <v>1081</v>
      </c>
      <c r="B334" s="2">
        <v>45173</v>
      </c>
      <c r="C334" s="1" t="s">
        <v>26</v>
      </c>
      <c r="D334" s="1" t="s">
        <v>30</v>
      </c>
      <c r="E334" s="1" t="s">
        <v>28</v>
      </c>
      <c r="F334" s="1" t="s">
        <v>15</v>
      </c>
      <c r="G334" s="1" t="s">
        <v>25</v>
      </c>
      <c r="H334" s="1" t="s">
        <v>29</v>
      </c>
      <c r="I334" s="4">
        <v>1236.25</v>
      </c>
      <c r="J334" s="4">
        <v>1543.38</v>
      </c>
      <c r="K334">
        <v>23</v>
      </c>
      <c r="L334" s="3">
        <v>0.1</v>
      </c>
      <c r="M334" s="4">
        <v>28433.75</v>
      </c>
      <c r="N334" s="4">
        <v>35495.440000000002</v>
      </c>
      <c r="O334" s="4">
        <v>7061.69</v>
      </c>
      <c r="P334" s="3">
        <v>0.19894639987559001</v>
      </c>
    </row>
    <row r="335" spans="1:16" x14ac:dyDescent="0.3">
      <c r="A335">
        <v>1091</v>
      </c>
      <c r="B335" s="2">
        <v>45173</v>
      </c>
      <c r="C335" s="1" t="s">
        <v>31</v>
      </c>
      <c r="D335" s="1" t="s">
        <v>27</v>
      </c>
      <c r="E335" s="1" t="s">
        <v>22</v>
      </c>
      <c r="F335" s="1" t="s">
        <v>20</v>
      </c>
      <c r="G335" s="1" t="s">
        <v>25</v>
      </c>
      <c r="H335" s="1" t="s">
        <v>17</v>
      </c>
      <c r="I335" s="4">
        <v>2085.46</v>
      </c>
      <c r="J335" s="4">
        <v>2406.58</v>
      </c>
      <c r="K335">
        <v>44</v>
      </c>
      <c r="L335" s="3">
        <v>0.06</v>
      </c>
      <c r="M335" s="4">
        <v>91760.24</v>
      </c>
      <c r="N335" s="4">
        <v>105886.88</v>
      </c>
      <c r="O335" s="4">
        <v>14126.64</v>
      </c>
      <c r="P335" s="3">
        <v>0.133412562538437</v>
      </c>
    </row>
    <row r="336" spans="1:16" x14ac:dyDescent="0.3">
      <c r="A336">
        <v>1023</v>
      </c>
      <c r="B336" s="2">
        <v>45172</v>
      </c>
      <c r="C336" s="1" t="s">
        <v>18</v>
      </c>
      <c r="D336" s="1" t="s">
        <v>27</v>
      </c>
      <c r="E336" s="1" t="s">
        <v>28</v>
      </c>
      <c r="F336" s="1" t="s">
        <v>15</v>
      </c>
      <c r="G336" s="1" t="s">
        <v>16</v>
      </c>
      <c r="H336" s="1" t="s">
        <v>29</v>
      </c>
      <c r="I336" s="4">
        <v>4775.04</v>
      </c>
      <c r="J336" s="4">
        <v>4785.66</v>
      </c>
      <c r="K336">
        <v>32</v>
      </c>
      <c r="L336" s="3">
        <v>0.03</v>
      </c>
      <c r="M336" s="4">
        <v>152801.28</v>
      </c>
      <c r="N336" s="4">
        <v>153140.16</v>
      </c>
      <c r="O336" s="4">
        <v>338.88</v>
      </c>
      <c r="P336" s="3">
        <v>2.2128747939142799E-3</v>
      </c>
    </row>
    <row r="337" spans="1:16" x14ac:dyDescent="0.3">
      <c r="A337">
        <v>1055</v>
      </c>
      <c r="B337" s="2">
        <v>45172</v>
      </c>
      <c r="C337" s="1" t="s">
        <v>31</v>
      </c>
      <c r="D337" s="1" t="s">
        <v>19</v>
      </c>
      <c r="E337" s="1" t="s">
        <v>28</v>
      </c>
      <c r="F337" s="1" t="s">
        <v>20</v>
      </c>
      <c r="G337" s="1" t="s">
        <v>16</v>
      </c>
      <c r="H337" s="1" t="s">
        <v>29</v>
      </c>
      <c r="I337" s="4">
        <v>2538.61</v>
      </c>
      <c r="J337" s="4">
        <v>2971.75</v>
      </c>
      <c r="K337">
        <v>12</v>
      </c>
      <c r="L337" s="3">
        <v>0.24</v>
      </c>
      <c r="M337" s="4">
        <v>30463.32</v>
      </c>
      <c r="N337" s="4">
        <v>35658.120000000003</v>
      </c>
      <c r="O337" s="4">
        <v>5194.8</v>
      </c>
      <c r="P337" s="3">
        <v>0.14568350771156799</v>
      </c>
    </row>
    <row r="338" spans="1:16" x14ac:dyDescent="0.3">
      <c r="A338">
        <v>1058</v>
      </c>
      <c r="B338" s="2">
        <v>45171</v>
      </c>
      <c r="C338" s="1" t="s">
        <v>18</v>
      </c>
      <c r="D338" s="1" t="s">
        <v>27</v>
      </c>
      <c r="E338" s="1" t="s">
        <v>24</v>
      </c>
      <c r="F338" s="1" t="s">
        <v>20</v>
      </c>
      <c r="G338" s="1" t="s">
        <v>16</v>
      </c>
      <c r="H338" s="1" t="s">
        <v>17</v>
      </c>
      <c r="I338" s="4">
        <v>760.55</v>
      </c>
      <c r="J338" s="4">
        <v>1086.8900000000001</v>
      </c>
      <c r="K338">
        <v>9</v>
      </c>
      <c r="L338" s="3">
        <v>0.15</v>
      </c>
      <c r="M338" s="4">
        <v>6844.95</v>
      </c>
      <c r="N338" s="4">
        <v>9780.66</v>
      </c>
      <c r="O338" s="4">
        <v>2935.71</v>
      </c>
      <c r="P338" s="3">
        <v>0.30015459079448598</v>
      </c>
    </row>
    <row r="339" spans="1:16" x14ac:dyDescent="0.3">
      <c r="A339">
        <v>1019</v>
      </c>
      <c r="B339" s="2">
        <v>45170</v>
      </c>
      <c r="C339" s="1" t="s">
        <v>18</v>
      </c>
      <c r="D339" s="1" t="s">
        <v>19</v>
      </c>
      <c r="E339" s="1" t="s">
        <v>14</v>
      </c>
      <c r="F339" s="1" t="s">
        <v>15</v>
      </c>
      <c r="G339" s="1" t="s">
        <v>25</v>
      </c>
      <c r="H339" s="1" t="s">
        <v>17</v>
      </c>
      <c r="I339" s="4">
        <v>97.24</v>
      </c>
      <c r="J339" s="4">
        <v>487.03</v>
      </c>
      <c r="K339">
        <v>16</v>
      </c>
      <c r="L339" s="3">
        <v>0.22</v>
      </c>
      <c r="M339" s="4">
        <v>1555.84</v>
      </c>
      <c r="N339" s="4">
        <v>7788.96</v>
      </c>
      <c r="O339" s="4">
        <v>6233.12</v>
      </c>
      <c r="P339" s="3">
        <v>0.80025061112138196</v>
      </c>
    </row>
    <row r="340" spans="1:16" x14ac:dyDescent="0.3">
      <c r="A340">
        <v>1086</v>
      </c>
      <c r="B340" s="2">
        <v>45170</v>
      </c>
      <c r="C340" s="1" t="s">
        <v>31</v>
      </c>
      <c r="D340" s="1" t="s">
        <v>19</v>
      </c>
      <c r="E340" s="1" t="s">
        <v>28</v>
      </c>
      <c r="F340" s="1" t="s">
        <v>15</v>
      </c>
      <c r="G340" s="1" t="s">
        <v>16</v>
      </c>
      <c r="H340" s="1" t="s">
        <v>29</v>
      </c>
      <c r="I340" s="4">
        <v>4075.08</v>
      </c>
      <c r="J340" s="4">
        <v>4262.21</v>
      </c>
      <c r="K340">
        <v>17</v>
      </c>
      <c r="L340" s="3">
        <v>0.17</v>
      </c>
      <c r="M340" s="4">
        <v>69276.36</v>
      </c>
      <c r="N340" s="4">
        <v>72454.679999999993</v>
      </c>
      <c r="O340" s="4">
        <v>3178.32</v>
      </c>
      <c r="P340" s="3">
        <v>4.3866317538080402E-2</v>
      </c>
    </row>
    <row r="341" spans="1:16" x14ac:dyDescent="0.3">
      <c r="A341">
        <v>1018</v>
      </c>
      <c r="B341" s="2">
        <v>45169</v>
      </c>
      <c r="C341" s="1" t="s">
        <v>26</v>
      </c>
      <c r="D341" s="1" t="s">
        <v>13</v>
      </c>
      <c r="E341" s="1" t="s">
        <v>28</v>
      </c>
      <c r="F341" s="1" t="s">
        <v>15</v>
      </c>
      <c r="G341" s="1" t="s">
        <v>16</v>
      </c>
      <c r="H341" s="1" t="s">
        <v>17</v>
      </c>
      <c r="I341" s="4">
        <v>2315.83</v>
      </c>
      <c r="J341" s="4">
        <v>2333.19</v>
      </c>
      <c r="K341">
        <v>1</v>
      </c>
      <c r="L341" s="3">
        <v>0.01</v>
      </c>
      <c r="M341" s="4">
        <v>2315.83</v>
      </c>
      <c r="N341" s="4">
        <v>2333.1799999999998</v>
      </c>
      <c r="O341" s="4">
        <v>17.350000000000001</v>
      </c>
      <c r="P341" s="3">
        <v>7.4362029504795998E-3</v>
      </c>
    </row>
    <row r="342" spans="1:16" x14ac:dyDescent="0.3">
      <c r="A342">
        <v>1026</v>
      </c>
      <c r="B342" s="2">
        <v>45169</v>
      </c>
      <c r="C342" s="1" t="s">
        <v>26</v>
      </c>
      <c r="D342" s="1" t="s">
        <v>13</v>
      </c>
      <c r="E342" s="1" t="s">
        <v>28</v>
      </c>
      <c r="F342" s="1" t="s">
        <v>20</v>
      </c>
      <c r="G342" s="1" t="s">
        <v>21</v>
      </c>
      <c r="H342" s="1" t="s">
        <v>29</v>
      </c>
      <c r="I342" s="4">
        <v>1156.8800000000001</v>
      </c>
      <c r="J342" s="4">
        <v>1454.68</v>
      </c>
      <c r="K342">
        <v>25</v>
      </c>
      <c r="L342" s="3">
        <v>0.06</v>
      </c>
      <c r="M342" s="4">
        <v>28922</v>
      </c>
      <c r="N342" s="4">
        <v>36365.5</v>
      </c>
      <c r="O342" s="4">
        <v>7443.5</v>
      </c>
      <c r="P342" s="3">
        <v>0.204685759854807</v>
      </c>
    </row>
    <row r="343" spans="1:16" x14ac:dyDescent="0.3">
      <c r="A343">
        <v>1028</v>
      </c>
      <c r="B343" s="2">
        <v>45169</v>
      </c>
      <c r="C343" s="1" t="s">
        <v>12</v>
      </c>
      <c r="D343" s="1" t="s">
        <v>30</v>
      </c>
      <c r="E343" s="1" t="s">
        <v>24</v>
      </c>
      <c r="F343" s="1" t="s">
        <v>15</v>
      </c>
      <c r="G343" s="1" t="s">
        <v>21</v>
      </c>
      <c r="H343" s="1" t="s">
        <v>29</v>
      </c>
      <c r="I343" s="4">
        <v>2055.2800000000002</v>
      </c>
      <c r="J343" s="4">
        <v>2449.64</v>
      </c>
      <c r="K343">
        <v>28</v>
      </c>
      <c r="L343" s="3">
        <v>0.19</v>
      </c>
      <c r="M343" s="4">
        <v>57547.839999999997</v>
      </c>
      <c r="N343" s="4">
        <v>68584.600000000006</v>
      </c>
      <c r="O343" s="4">
        <v>11036.76</v>
      </c>
      <c r="P343" s="3">
        <v>0.160921839596644</v>
      </c>
    </row>
    <row r="344" spans="1:16" x14ac:dyDescent="0.3">
      <c r="A344">
        <v>1059</v>
      </c>
      <c r="B344" s="2">
        <v>45169</v>
      </c>
      <c r="C344" s="1" t="s">
        <v>26</v>
      </c>
      <c r="D344" s="1" t="s">
        <v>30</v>
      </c>
      <c r="E344" s="1" t="s">
        <v>22</v>
      </c>
      <c r="F344" s="1" t="s">
        <v>20</v>
      </c>
      <c r="G344" s="1" t="s">
        <v>21</v>
      </c>
      <c r="H344" s="1" t="s">
        <v>29</v>
      </c>
      <c r="I344" s="4">
        <v>3333.64</v>
      </c>
      <c r="J344" s="4">
        <v>3764.52</v>
      </c>
      <c r="K344">
        <v>35</v>
      </c>
      <c r="L344" s="3">
        <v>0.02</v>
      </c>
      <c r="M344" s="4">
        <v>116677.4</v>
      </c>
      <c r="N344" s="4">
        <v>131757.5</v>
      </c>
      <c r="O344" s="4">
        <v>15080.1</v>
      </c>
      <c r="P344" s="3">
        <v>0.114453446672865</v>
      </c>
    </row>
    <row r="345" spans="1:16" x14ac:dyDescent="0.3">
      <c r="A345">
        <v>1092</v>
      </c>
      <c r="B345" s="2">
        <v>45169</v>
      </c>
      <c r="C345" s="1" t="s">
        <v>12</v>
      </c>
      <c r="D345" s="1" t="s">
        <v>27</v>
      </c>
      <c r="E345" s="1" t="s">
        <v>22</v>
      </c>
      <c r="F345" s="1" t="s">
        <v>15</v>
      </c>
      <c r="G345" s="1" t="s">
        <v>21</v>
      </c>
      <c r="H345" s="1" t="s">
        <v>17</v>
      </c>
      <c r="I345" s="4">
        <v>4284.9799999999996</v>
      </c>
      <c r="J345" s="4">
        <v>4462.3999999999996</v>
      </c>
      <c r="K345">
        <v>47</v>
      </c>
      <c r="L345" s="3">
        <v>0.28000000000000003</v>
      </c>
      <c r="M345" s="4">
        <v>201394.06</v>
      </c>
      <c r="N345" s="4">
        <v>209719.64</v>
      </c>
      <c r="O345" s="4">
        <v>8325.58</v>
      </c>
      <c r="P345" s="3">
        <v>3.9698618593852202E-2</v>
      </c>
    </row>
    <row r="346" spans="1:16" x14ac:dyDescent="0.3">
      <c r="A346">
        <v>1033</v>
      </c>
      <c r="B346" s="2">
        <v>45168</v>
      </c>
      <c r="C346" s="1" t="s">
        <v>23</v>
      </c>
      <c r="D346" s="1" t="s">
        <v>13</v>
      </c>
      <c r="E346" s="1" t="s">
        <v>22</v>
      </c>
      <c r="F346" s="1" t="s">
        <v>20</v>
      </c>
      <c r="G346" s="1" t="s">
        <v>16</v>
      </c>
      <c r="H346" s="1" t="s">
        <v>17</v>
      </c>
      <c r="I346" s="4">
        <v>504.3</v>
      </c>
      <c r="J346" s="4">
        <v>735.95</v>
      </c>
      <c r="K346">
        <v>14</v>
      </c>
      <c r="L346" s="3">
        <v>0.21</v>
      </c>
      <c r="M346" s="4">
        <v>7060.2</v>
      </c>
      <c r="N346" s="4">
        <v>10300.36</v>
      </c>
      <c r="O346" s="4">
        <v>3240.16</v>
      </c>
      <c r="P346" s="3">
        <v>0.31456764617935701</v>
      </c>
    </row>
    <row r="347" spans="1:16" x14ac:dyDescent="0.3">
      <c r="A347">
        <v>1077</v>
      </c>
      <c r="B347" s="2">
        <v>45168</v>
      </c>
      <c r="C347" s="1" t="s">
        <v>26</v>
      </c>
      <c r="D347" s="1" t="s">
        <v>19</v>
      </c>
      <c r="E347" s="1" t="s">
        <v>28</v>
      </c>
      <c r="F347" s="1" t="s">
        <v>15</v>
      </c>
      <c r="G347" s="1" t="s">
        <v>21</v>
      </c>
      <c r="H347" s="1" t="s">
        <v>29</v>
      </c>
      <c r="I347" s="4">
        <v>61.5</v>
      </c>
      <c r="J347" s="4">
        <v>258.92</v>
      </c>
      <c r="K347">
        <v>25</v>
      </c>
      <c r="L347" s="3">
        <v>0.17</v>
      </c>
      <c r="M347" s="4">
        <v>1537.5</v>
      </c>
      <c r="N347" s="4">
        <v>6468.75</v>
      </c>
      <c r="O347" s="4">
        <v>4931.25</v>
      </c>
      <c r="P347" s="3">
        <v>0.76231884057971</v>
      </c>
    </row>
    <row r="348" spans="1:16" x14ac:dyDescent="0.3">
      <c r="A348">
        <v>1042</v>
      </c>
      <c r="B348" s="2">
        <v>45167</v>
      </c>
      <c r="C348" s="1" t="s">
        <v>12</v>
      </c>
      <c r="D348" s="1" t="s">
        <v>27</v>
      </c>
      <c r="E348" s="1" t="s">
        <v>14</v>
      </c>
      <c r="F348" s="1" t="s">
        <v>20</v>
      </c>
      <c r="G348" s="1" t="s">
        <v>25</v>
      </c>
      <c r="H348" s="1" t="s">
        <v>29</v>
      </c>
      <c r="I348" s="4">
        <v>1139.45</v>
      </c>
      <c r="J348" s="4">
        <v>1454.41</v>
      </c>
      <c r="K348">
        <v>27</v>
      </c>
      <c r="L348" s="3">
        <v>0.3</v>
      </c>
      <c r="M348" s="4">
        <v>30765.15</v>
      </c>
      <c r="N348" s="4">
        <v>39260.97</v>
      </c>
      <c r="O348" s="4">
        <v>8495.82</v>
      </c>
      <c r="P348" s="3">
        <v>0.21639353281388601</v>
      </c>
    </row>
    <row r="349" spans="1:16" x14ac:dyDescent="0.3">
      <c r="A349">
        <v>1099</v>
      </c>
      <c r="B349" s="2">
        <v>45167</v>
      </c>
      <c r="C349" s="1" t="s">
        <v>26</v>
      </c>
      <c r="D349" s="1" t="s">
        <v>19</v>
      </c>
      <c r="E349" s="1" t="s">
        <v>14</v>
      </c>
      <c r="F349" s="1" t="s">
        <v>20</v>
      </c>
      <c r="G349" s="1" t="s">
        <v>25</v>
      </c>
      <c r="H349" s="1" t="s">
        <v>17</v>
      </c>
      <c r="I349" s="4">
        <v>4933.1099999999997</v>
      </c>
      <c r="J349" s="4">
        <v>5245.86</v>
      </c>
      <c r="K349">
        <v>44</v>
      </c>
      <c r="L349" s="3">
        <v>0.13</v>
      </c>
      <c r="M349" s="4">
        <v>217056.84</v>
      </c>
      <c r="N349" s="4">
        <v>230812.12</v>
      </c>
      <c r="O349" s="4">
        <v>13755.28</v>
      </c>
      <c r="P349" s="3">
        <v>5.9595137378401102E-2</v>
      </c>
    </row>
    <row r="350" spans="1:16" x14ac:dyDescent="0.3">
      <c r="A350">
        <v>1008</v>
      </c>
      <c r="B350" s="2">
        <v>45165</v>
      </c>
      <c r="C350" s="1" t="s">
        <v>18</v>
      </c>
      <c r="D350" s="1" t="s">
        <v>27</v>
      </c>
      <c r="E350" s="1" t="s">
        <v>14</v>
      </c>
      <c r="F350" s="1" t="s">
        <v>20</v>
      </c>
      <c r="G350" s="1" t="s">
        <v>25</v>
      </c>
      <c r="H350" s="1" t="s">
        <v>29</v>
      </c>
      <c r="I350" s="4">
        <v>2687.49</v>
      </c>
      <c r="J350" s="4">
        <v>3001.56</v>
      </c>
      <c r="K350">
        <v>40</v>
      </c>
      <c r="L350" s="3">
        <v>0.26</v>
      </c>
      <c r="M350" s="4">
        <v>107499.6</v>
      </c>
      <c r="N350" s="4">
        <v>120052</v>
      </c>
      <c r="O350" s="4">
        <v>12552.4</v>
      </c>
      <c r="P350" s="3">
        <v>0.10455802485589601</v>
      </c>
    </row>
    <row r="351" spans="1:16" x14ac:dyDescent="0.3">
      <c r="A351">
        <v>1019</v>
      </c>
      <c r="B351" s="2">
        <v>45165</v>
      </c>
      <c r="C351" s="1" t="s">
        <v>31</v>
      </c>
      <c r="D351" s="1" t="s">
        <v>30</v>
      </c>
      <c r="E351" s="1" t="s">
        <v>22</v>
      </c>
      <c r="F351" s="1" t="s">
        <v>20</v>
      </c>
      <c r="G351" s="1" t="s">
        <v>21</v>
      </c>
      <c r="H351" s="1" t="s">
        <v>29</v>
      </c>
      <c r="I351" s="4">
        <v>3591.14</v>
      </c>
      <c r="J351" s="4">
        <v>3822.99</v>
      </c>
      <c r="K351">
        <v>18</v>
      </c>
      <c r="L351" s="3">
        <v>0.09</v>
      </c>
      <c r="M351" s="4">
        <v>64640.52</v>
      </c>
      <c r="N351" s="4">
        <v>68812.2</v>
      </c>
      <c r="O351" s="4">
        <v>4171.68</v>
      </c>
      <c r="P351" s="3">
        <v>6.0624133511208801E-2</v>
      </c>
    </row>
    <row r="352" spans="1:16" x14ac:dyDescent="0.3">
      <c r="A352">
        <v>1021</v>
      </c>
      <c r="B352" s="2">
        <v>45165</v>
      </c>
      <c r="C352" s="1" t="s">
        <v>12</v>
      </c>
      <c r="D352" s="1" t="s">
        <v>30</v>
      </c>
      <c r="E352" s="1" t="s">
        <v>14</v>
      </c>
      <c r="F352" s="1" t="s">
        <v>20</v>
      </c>
      <c r="G352" s="1" t="s">
        <v>16</v>
      </c>
      <c r="H352" s="1" t="s">
        <v>17</v>
      </c>
      <c r="I352" s="4">
        <v>444.05</v>
      </c>
      <c r="J352" s="4">
        <v>584.44000000000005</v>
      </c>
      <c r="K352">
        <v>19</v>
      </c>
      <c r="L352" s="3">
        <v>0.28000000000000003</v>
      </c>
      <c r="M352" s="4">
        <v>8436.9500000000007</v>
      </c>
      <c r="N352" s="4">
        <v>11099.04</v>
      </c>
      <c r="O352" s="4">
        <v>2662.09</v>
      </c>
      <c r="P352" s="3">
        <v>0.23984867159682299</v>
      </c>
    </row>
    <row r="353" spans="1:16" x14ac:dyDescent="0.3">
      <c r="A353">
        <v>1099</v>
      </c>
      <c r="B353" s="2">
        <v>45164</v>
      </c>
      <c r="C353" s="1" t="s">
        <v>18</v>
      </c>
      <c r="D353" s="1" t="s">
        <v>19</v>
      </c>
      <c r="E353" s="1" t="s">
        <v>22</v>
      </c>
      <c r="F353" s="1" t="s">
        <v>15</v>
      </c>
      <c r="G353" s="1" t="s">
        <v>16</v>
      </c>
      <c r="H353" s="1" t="s">
        <v>17</v>
      </c>
      <c r="I353" s="4">
        <v>2471.73</v>
      </c>
      <c r="J353" s="4">
        <v>2568.73</v>
      </c>
      <c r="K353">
        <v>17</v>
      </c>
      <c r="L353" s="3">
        <v>0.05</v>
      </c>
      <c r="M353" s="4">
        <v>42019.41</v>
      </c>
      <c r="N353" s="4">
        <v>43667.56</v>
      </c>
      <c r="O353" s="4">
        <v>1648.15</v>
      </c>
      <c r="P353" s="3">
        <v>3.7743120980425697E-2</v>
      </c>
    </row>
    <row r="354" spans="1:16" x14ac:dyDescent="0.3">
      <c r="A354">
        <v>1024</v>
      </c>
      <c r="B354" s="2">
        <v>45163</v>
      </c>
      <c r="C354" s="1" t="s">
        <v>18</v>
      </c>
      <c r="D354" s="1" t="s">
        <v>27</v>
      </c>
      <c r="E354" s="1" t="s">
        <v>28</v>
      </c>
      <c r="F354" s="1" t="s">
        <v>15</v>
      </c>
      <c r="G354" s="1" t="s">
        <v>16</v>
      </c>
      <c r="H354" s="1" t="s">
        <v>17</v>
      </c>
      <c r="I354" s="4">
        <v>1586.02</v>
      </c>
      <c r="J354" s="4">
        <v>2047.13</v>
      </c>
      <c r="K354">
        <v>42</v>
      </c>
      <c r="L354" s="3">
        <v>0.25</v>
      </c>
      <c r="M354" s="4">
        <v>66612.84</v>
      </c>
      <c r="N354" s="4">
        <v>85968.960000000006</v>
      </c>
      <c r="O354" s="4">
        <v>19356.12</v>
      </c>
      <c r="P354" s="3">
        <v>0.225152427108575</v>
      </c>
    </row>
    <row r="355" spans="1:16" x14ac:dyDescent="0.3">
      <c r="A355">
        <v>1032</v>
      </c>
      <c r="B355" s="2">
        <v>45163</v>
      </c>
      <c r="C355" s="1" t="s">
        <v>23</v>
      </c>
      <c r="D355" s="1" t="s">
        <v>30</v>
      </c>
      <c r="E355" s="1" t="s">
        <v>28</v>
      </c>
      <c r="F355" s="1" t="s">
        <v>20</v>
      </c>
      <c r="G355" s="1" t="s">
        <v>21</v>
      </c>
      <c r="H355" s="1" t="s">
        <v>17</v>
      </c>
      <c r="I355" s="4">
        <v>4673.1899999999996</v>
      </c>
      <c r="J355" s="4">
        <v>4761.18</v>
      </c>
      <c r="K355">
        <v>23</v>
      </c>
      <c r="L355" s="3">
        <v>0.17</v>
      </c>
      <c r="M355" s="4">
        <v>107483.37</v>
      </c>
      <c r="N355" s="4">
        <v>109503.23</v>
      </c>
      <c r="O355" s="4">
        <v>2019.86</v>
      </c>
      <c r="P355" s="3">
        <v>1.8445665940630199E-2</v>
      </c>
    </row>
    <row r="356" spans="1:16" x14ac:dyDescent="0.3">
      <c r="A356">
        <v>1041</v>
      </c>
      <c r="B356" s="2">
        <v>45163</v>
      </c>
      <c r="C356" s="1" t="s">
        <v>23</v>
      </c>
      <c r="D356" s="1" t="s">
        <v>27</v>
      </c>
      <c r="E356" s="1" t="s">
        <v>22</v>
      </c>
      <c r="F356" s="1" t="s">
        <v>20</v>
      </c>
      <c r="G356" s="1" t="s">
        <v>16</v>
      </c>
      <c r="H356" s="1" t="s">
        <v>17</v>
      </c>
      <c r="I356" s="4">
        <v>1604.52</v>
      </c>
      <c r="J356" s="4">
        <v>1756.34</v>
      </c>
      <c r="K356">
        <v>31</v>
      </c>
      <c r="L356" s="3">
        <v>0.17</v>
      </c>
      <c r="M356" s="4">
        <v>49740.12</v>
      </c>
      <c r="N356" s="4">
        <v>54441.27</v>
      </c>
      <c r="O356" s="4">
        <v>4701.1499999999996</v>
      </c>
      <c r="P356" s="3">
        <v>8.6352687951622001E-2</v>
      </c>
    </row>
    <row r="357" spans="1:16" x14ac:dyDescent="0.3">
      <c r="A357">
        <v>1072</v>
      </c>
      <c r="B357" s="2">
        <v>45163</v>
      </c>
      <c r="C357" s="1" t="s">
        <v>31</v>
      </c>
      <c r="D357" s="1" t="s">
        <v>27</v>
      </c>
      <c r="E357" s="1" t="s">
        <v>22</v>
      </c>
      <c r="F357" s="1" t="s">
        <v>15</v>
      </c>
      <c r="G357" s="1" t="s">
        <v>25</v>
      </c>
      <c r="H357" s="1" t="s">
        <v>17</v>
      </c>
      <c r="I357" s="4">
        <v>1517.4</v>
      </c>
      <c r="J357" s="4">
        <v>1545.02</v>
      </c>
      <c r="K357">
        <v>12</v>
      </c>
      <c r="L357" s="3">
        <v>0.03</v>
      </c>
      <c r="M357" s="4">
        <v>18208.8</v>
      </c>
      <c r="N357" s="4">
        <v>18539.88</v>
      </c>
      <c r="O357" s="4">
        <v>331.08</v>
      </c>
      <c r="P357" s="3">
        <v>1.7857720761946701E-2</v>
      </c>
    </row>
    <row r="358" spans="1:16" x14ac:dyDescent="0.3">
      <c r="A358">
        <v>1072</v>
      </c>
      <c r="B358" s="2">
        <v>45162</v>
      </c>
      <c r="C358" s="1" t="s">
        <v>23</v>
      </c>
      <c r="D358" s="1" t="s">
        <v>27</v>
      </c>
      <c r="E358" s="1" t="s">
        <v>14</v>
      </c>
      <c r="F358" s="1" t="s">
        <v>15</v>
      </c>
      <c r="G358" s="1" t="s">
        <v>21</v>
      </c>
      <c r="H358" s="1" t="s">
        <v>17</v>
      </c>
      <c r="I358" s="4">
        <v>4330.03</v>
      </c>
      <c r="J358" s="4">
        <v>4467.75</v>
      </c>
      <c r="K358">
        <v>39</v>
      </c>
      <c r="L358" s="3">
        <v>0.02</v>
      </c>
      <c r="M358" s="4">
        <v>168871.17</v>
      </c>
      <c r="N358" s="4">
        <v>174241.47</v>
      </c>
      <c r="O358" s="4">
        <v>5370.3</v>
      </c>
      <c r="P358" s="3">
        <v>3.0821020965904399E-2</v>
      </c>
    </row>
    <row r="359" spans="1:16" x14ac:dyDescent="0.3">
      <c r="A359">
        <v>1075</v>
      </c>
      <c r="B359" s="2">
        <v>45162</v>
      </c>
      <c r="C359" s="1" t="s">
        <v>31</v>
      </c>
      <c r="D359" s="1" t="s">
        <v>19</v>
      </c>
      <c r="E359" s="1" t="s">
        <v>14</v>
      </c>
      <c r="F359" s="1" t="s">
        <v>15</v>
      </c>
      <c r="G359" s="1" t="s">
        <v>25</v>
      </c>
      <c r="H359" s="1" t="s">
        <v>29</v>
      </c>
      <c r="I359" s="4">
        <v>967.77</v>
      </c>
      <c r="J359" s="4">
        <v>1414.88</v>
      </c>
      <c r="K359">
        <v>42</v>
      </c>
      <c r="L359" s="3">
        <v>0.17</v>
      </c>
      <c r="M359" s="4">
        <v>40646.339999999997</v>
      </c>
      <c r="N359" s="4">
        <v>59417.82</v>
      </c>
      <c r="O359" s="4">
        <v>18771.48</v>
      </c>
      <c r="P359" s="3">
        <v>0.31592340479674302</v>
      </c>
    </row>
    <row r="360" spans="1:16" x14ac:dyDescent="0.3">
      <c r="A360">
        <v>1079</v>
      </c>
      <c r="B360" s="2">
        <v>45162</v>
      </c>
      <c r="C360" s="1" t="s">
        <v>26</v>
      </c>
      <c r="D360" s="1" t="s">
        <v>30</v>
      </c>
      <c r="E360" s="1" t="s">
        <v>14</v>
      </c>
      <c r="F360" s="1" t="s">
        <v>20</v>
      </c>
      <c r="G360" s="1" t="s">
        <v>25</v>
      </c>
      <c r="H360" s="1" t="s">
        <v>29</v>
      </c>
      <c r="I360" s="4">
        <v>3808.23</v>
      </c>
      <c r="J360" s="4">
        <v>3891.62</v>
      </c>
      <c r="K360">
        <v>8</v>
      </c>
      <c r="L360" s="3">
        <v>0.26</v>
      </c>
      <c r="M360" s="4">
        <v>30465.84</v>
      </c>
      <c r="N360" s="4">
        <v>31130.880000000001</v>
      </c>
      <c r="O360" s="4">
        <v>665.04</v>
      </c>
      <c r="P360" s="3">
        <v>2.13627112372024E-2</v>
      </c>
    </row>
    <row r="361" spans="1:16" x14ac:dyDescent="0.3">
      <c r="A361">
        <v>1080</v>
      </c>
      <c r="B361" s="2">
        <v>45162</v>
      </c>
      <c r="C361" s="1" t="s">
        <v>23</v>
      </c>
      <c r="D361" s="1" t="s">
        <v>19</v>
      </c>
      <c r="E361" s="1" t="s">
        <v>24</v>
      </c>
      <c r="F361" s="1" t="s">
        <v>20</v>
      </c>
      <c r="G361" s="1" t="s">
        <v>16</v>
      </c>
      <c r="H361" s="1" t="s">
        <v>17</v>
      </c>
      <c r="I361" s="4">
        <v>2742.67</v>
      </c>
      <c r="J361" s="4">
        <v>2979.64</v>
      </c>
      <c r="K361">
        <v>17</v>
      </c>
      <c r="L361" s="3">
        <v>0.01</v>
      </c>
      <c r="M361" s="4">
        <v>46625.39</v>
      </c>
      <c r="N361" s="4">
        <v>50653.71</v>
      </c>
      <c r="O361" s="4">
        <v>4028.32</v>
      </c>
      <c r="P361" s="3">
        <v>7.9526652638079204E-2</v>
      </c>
    </row>
    <row r="362" spans="1:16" x14ac:dyDescent="0.3">
      <c r="A362">
        <v>1089</v>
      </c>
      <c r="B362" s="2">
        <v>45162</v>
      </c>
      <c r="C362" s="1" t="s">
        <v>12</v>
      </c>
      <c r="D362" s="1" t="s">
        <v>30</v>
      </c>
      <c r="E362" s="1" t="s">
        <v>24</v>
      </c>
      <c r="F362" s="1" t="s">
        <v>20</v>
      </c>
      <c r="G362" s="1" t="s">
        <v>21</v>
      </c>
      <c r="H362" s="1" t="s">
        <v>17</v>
      </c>
      <c r="I362" s="4">
        <v>4231.75</v>
      </c>
      <c r="J362" s="4">
        <v>4727.75</v>
      </c>
      <c r="K362">
        <v>4</v>
      </c>
      <c r="L362" s="3">
        <v>0.12</v>
      </c>
      <c r="M362" s="4">
        <v>16927</v>
      </c>
      <c r="N362" s="4">
        <v>18910.52</v>
      </c>
      <c r="O362" s="4">
        <v>1983.52</v>
      </c>
      <c r="P362" s="3">
        <v>0.10488976506198699</v>
      </c>
    </row>
    <row r="363" spans="1:16" x14ac:dyDescent="0.3">
      <c r="A363">
        <v>1095</v>
      </c>
      <c r="B363" s="2">
        <v>45162</v>
      </c>
      <c r="C363" s="1" t="s">
        <v>23</v>
      </c>
      <c r="D363" s="1" t="s">
        <v>19</v>
      </c>
      <c r="E363" s="1" t="s">
        <v>22</v>
      </c>
      <c r="F363" s="1" t="s">
        <v>15</v>
      </c>
      <c r="G363" s="1" t="s">
        <v>25</v>
      </c>
      <c r="H363" s="1" t="s">
        <v>29</v>
      </c>
      <c r="I363" s="4">
        <v>729.27</v>
      </c>
      <c r="J363" s="4">
        <v>999.18</v>
      </c>
      <c r="K363">
        <v>20</v>
      </c>
      <c r="L363" s="3">
        <v>0.1</v>
      </c>
      <c r="M363" s="4">
        <v>14585.4</v>
      </c>
      <c r="N363" s="4">
        <v>19981.599999999999</v>
      </c>
      <c r="O363" s="4">
        <v>5396.2</v>
      </c>
      <c r="P363" s="3">
        <v>0.270058453777475</v>
      </c>
    </row>
    <row r="364" spans="1:16" x14ac:dyDescent="0.3">
      <c r="A364">
        <v>1027</v>
      </c>
      <c r="B364" s="2">
        <v>45161</v>
      </c>
      <c r="C364" s="1" t="s">
        <v>23</v>
      </c>
      <c r="D364" s="1" t="s">
        <v>13</v>
      </c>
      <c r="E364" s="1" t="s">
        <v>28</v>
      </c>
      <c r="F364" s="1" t="s">
        <v>15</v>
      </c>
      <c r="G364" s="1" t="s">
        <v>21</v>
      </c>
      <c r="H364" s="1" t="s">
        <v>29</v>
      </c>
      <c r="I364" s="4">
        <v>282.61</v>
      </c>
      <c r="J364" s="4">
        <v>548.25</v>
      </c>
      <c r="K364">
        <v>4</v>
      </c>
      <c r="L364" s="3">
        <v>0.17</v>
      </c>
      <c r="M364" s="4">
        <v>1130.44</v>
      </c>
      <c r="N364" s="4">
        <v>2192.3200000000002</v>
      </c>
      <c r="O364" s="4">
        <v>1061.8800000000001</v>
      </c>
      <c r="P364" s="3">
        <v>0.48436359655524702</v>
      </c>
    </row>
    <row r="365" spans="1:16" x14ac:dyDescent="0.3">
      <c r="A365">
        <v>1036</v>
      </c>
      <c r="B365" s="2">
        <v>45161</v>
      </c>
      <c r="C365" s="1" t="s">
        <v>18</v>
      </c>
      <c r="D365" s="1" t="s">
        <v>13</v>
      </c>
      <c r="E365" s="1" t="s">
        <v>22</v>
      </c>
      <c r="F365" s="1" t="s">
        <v>15</v>
      </c>
      <c r="G365" s="1" t="s">
        <v>16</v>
      </c>
      <c r="H365" s="1" t="s">
        <v>17</v>
      </c>
      <c r="I365" s="4">
        <v>2520.9699999999998</v>
      </c>
      <c r="J365" s="4">
        <v>2707.11</v>
      </c>
      <c r="K365">
        <v>25</v>
      </c>
      <c r="L365" s="3">
        <v>0.25</v>
      </c>
      <c r="M365" s="4">
        <v>63024.25</v>
      </c>
      <c r="N365" s="4">
        <v>67671.5</v>
      </c>
      <c r="O365" s="4">
        <v>4647.25</v>
      </c>
      <c r="P365" s="3">
        <v>6.8673666166702396E-2</v>
      </c>
    </row>
    <row r="366" spans="1:16" x14ac:dyDescent="0.3">
      <c r="A366">
        <v>1092</v>
      </c>
      <c r="B366" s="2">
        <v>45160</v>
      </c>
      <c r="C366" s="1" t="s">
        <v>18</v>
      </c>
      <c r="D366" s="1" t="s">
        <v>13</v>
      </c>
      <c r="E366" s="1" t="s">
        <v>14</v>
      </c>
      <c r="F366" s="1" t="s">
        <v>15</v>
      </c>
      <c r="G366" s="1" t="s">
        <v>16</v>
      </c>
      <c r="H366" s="1" t="s">
        <v>29</v>
      </c>
      <c r="I366" s="4">
        <v>1742.24</v>
      </c>
      <c r="J366" s="4">
        <v>2070.52</v>
      </c>
      <c r="K366">
        <v>29</v>
      </c>
      <c r="L366" s="3">
        <v>0.12</v>
      </c>
      <c r="M366" s="4">
        <v>50524.959999999999</v>
      </c>
      <c r="N366" s="4">
        <v>60041.599999999999</v>
      </c>
      <c r="O366" s="4">
        <v>9516.64</v>
      </c>
      <c r="P366" s="3">
        <v>0.158500772797527</v>
      </c>
    </row>
    <row r="367" spans="1:16" x14ac:dyDescent="0.3">
      <c r="A367">
        <v>1050</v>
      </c>
      <c r="B367" s="2">
        <v>45159</v>
      </c>
      <c r="C367" s="1" t="s">
        <v>18</v>
      </c>
      <c r="D367" s="1" t="s">
        <v>30</v>
      </c>
      <c r="E367" s="1" t="s">
        <v>24</v>
      </c>
      <c r="F367" s="1" t="s">
        <v>15</v>
      </c>
      <c r="G367" s="1" t="s">
        <v>16</v>
      </c>
      <c r="H367" s="1" t="s">
        <v>17</v>
      </c>
      <c r="I367" s="4">
        <v>2346.8000000000002</v>
      </c>
      <c r="J367" s="4">
        <v>2654.65</v>
      </c>
      <c r="K367">
        <v>17</v>
      </c>
      <c r="L367" s="3">
        <v>0.13</v>
      </c>
      <c r="M367" s="4">
        <v>39895.599999999999</v>
      </c>
      <c r="N367" s="4">
        <v>45126.84</v>
      </c>
      <c r="O367" s="4">
        <v>5231.24</v>
      </c>
      <c r="P367" s="3">
        <v>0.115923029398912</v>
      </c>
    </row>
    <row r="368" spans="1:16" x14ac:dyDescent="0.3">
      <c r="A368">
        <v>1072</v>
      </c>
      <c r="B368" s="2">
        <v>45159</v>
      </c>
      <c r="C368" s="1" t="s">
        <v>26</v>
      </c>
      <c r="D368" s="1" t="s">
        <v>19</v>
      </c>
      <c r="E368" s="1" t="s">
        <v>14</v>
      </c>
      <c r="F368" s="1" t="s">
        <v>20</v>
      </c>
      <c r="G368" s="1" t="s">
        <v>21</v>
      </c>
      <c r="H368" s="1" t="s">
        <v>29</v>
      </c>
      <c r="I368" s="4">
        <v>710.99</v>
      </c>
      <c r="J368" s="4">
        <v>876.46</v>
      </c>
      <c r="K368">
        <v>12</v>
      </c>
      <c r="L368" s="3">
        <v>0.03</v>
      </c>
      <c r="M368" s="4">
        <v>8531.8799999999992</v>
      </c>
      <c r="N368" s="4">
        <v>10517.16</v>
      </c>
      <c r="O368" s="4">
        <v>1985.28</v>
      </c>
      <c r="P368" s="3">
        <v>0.18876578848282199</v>
      </c>
    </row>
    <row r="369" spans="1:16" x14ac:dyDescent="0.3">
      <c r="A369">
        <v>1080</v>
      </c>
      <c r="B369" s="2">
        <v>45159</v>
      </c>
      <c r="C369" s="1" t="s">
        <v>18</v>
      </c>
      <c r="D369" s="1" t="s">
        <v>27</v>
      </c>
      <c r="E369" s="1" t="s">
        <v>28</v>
      </c>
      <c r="F369" s="1" t="s">
        <v>20</v>
      </c>
      <c r="G369" s="1" t="s">
        <v>21</v>
      </c>
      <c r="H369" s="1" t="s">
        <v>17</v>
      </c>
      <c r="I369" s="4">
        <v>2316.13</v>
      </c>
      <c r="J369" s="4">
        <v>2525.27</v>
      </c>
      <c r="K369">
        <v>12</v>
      </c>
      <c r="L369" s="3">
        <v>0.12</v>
      </c>
      <c r="M369" s="4">
        <v>27793.56</v>
      </c>
      <c r="N369" s="4">
        <v>30301.8</v>
      </c>
      <c r="O369" s="4">
        <v>2508.2399999999998</v>
      </c>
      <c r="P369" s="3">
        <v>8.2775280676395405E-2</v>
      </c>
    </row>
    <row r="370" spans="1:16" x14ac:dyDescent="0.3">
      <c r="A370">
        <v>1005</v>
      </c>
      <c r="B370" s="2">
        <v>45158</v>
      </c>
      <c r="C370" s="1" t="s">
        <v>23</v>
      </c>
      <c r="D370" s="1" t="s">
        <v>30</v>
      </c>
      <c r="E370" s="1" t="s">
        <v>22</v>
      </c>
      <c r="F370" s="1" t="s">
        <v>15</v>
      </c>
      <c r="G370" s="1" t="s">
        <v>21</v>
      </c>
      <c r="H370" s="1" t="s">
        <v>17</v>
      </c>
      <c r="I370" s="4">
        <v>4376.37</v>
      </c>
      <c r="J370" s="4">
        <v>4818.95</v>
      </c>
      <c r="K370">
        <v>21</v>
      </c>
      <c r="L370" s="3">
        <v>0</v>
      </c>
      <c r="M370" s="4">
        <v>91903.77</v>
      </c>
      <c r="N370" s="4">
        <v>101197.95</v>
      </c>
      <c r="O370" s="4">
        <v>9294.18</v>
      </c>
      <c r="P370" s="3">
        <v>9.1841583747496902E-2</v>
      </c>
    </row>
    <row r="371" spans="1:16" x14ac:dyDescent="0.3">
      <c r="A371">
        <v>1090</v>
      </c>
      <c r="B371" s="2">
        <v>45157</v>
      </c>
      <c r="C371" s="1" t="s">
        <v>23</v>
      </c>
      <c r="D371" s="1" t="s">
        <v>19</v>
      </c>
      <c r="E371" s="1" t="s">
        <v>14</v>
      </c>
      <c r="F371" s="1" t="s">
        <v>20</v>
      </c>
      <c r="G371" s="1" t="s">
        <v>25</v>
      </c>
      <c r="H371" s="1" t="s">
        <v>17</v>
      </c>
      <c r="I371" s="4">
        <v>2347.81</v>
      </c>
      <c r="J371" s="4">
        <v>2668.02</v>
      </c>
      <c r="K371">
        <v>31</v>
      </c>
      <c r="L371" s="3">
        <v>0.09</v>
      </c>
      <c r="M371" s="4">
        <v>72782.11</v>
      </c>
      <c r="N371" s="4">
        <v>82705.83</v>
      </c>
      <c r="O371" s="4">
        <v>9923.7199999999993</v>
      </c>
      <c r="P371" s="3">
        <v>0.119988155611279</v>
      </c>
    </row>
    <row r="372" spans="1:16" x14ac:dyDescent="0.3">
      <c r="A372">
        <v>1007</v>
      </c>
      <c r="B372" s="2">
        <v>45155</v>
      </c>
      <c r="C372" s="1" t="s">
        <v>12</v>
      </c>
      <c r="D372" s="1" t="s">
        <v>13</v>
      </c>
      <c r="E372" s="1" t="s">
        <v>24</v>
      </c>
      <c r="F372" s="1" t="s">
        <v>15</v>
      </c>
      <c r="G372" s="1" t="s">
        <v>21</v>
      </c>
      <c r="H372" s="1" t="s">
        <v>17</v>
      </c>
      <c r="I372" s="4">
        <v>4310.3100000000004</v>
      </c>
      <c r="J372" s="4">
        <v>4633.1000000000004</v>
      </c>
      <c r="K372">
        <v>16</v>
      </c>
      <c r="L372" s="3">
        <v>0.28000000000000003</v>
      </c>
      <c r="M372" s="4">
        <v>68964.960000000006</v>
      </c>
      <c r="N372" s="4">
        <v>74125.119999999995</v>
      </c>
      <c r="O372" s="4">
        <v>5160.16</v>
      </c>
      <c r="P372" s="3">
        <v>6.9614187471129907E-2</v>
      </c>
    </row>
    <row r="373" spans="1:16" x14ac:dyDescent="0.3">
      <c r="A373">
        <v>1009</v>
      </c>
      <c r="B373" s="2">
        <v>45155</v>
      </c>
      <c r="C373" s="1" t="s">
        <v>23</v>
      </c>
      <c r="D373" s="1" t="s">
        <v>19</v>
      </c>
      <c r="E373" s="1" t="s">
        <v>14</v>
      </c>
      <c r="F373" s="1" t="s">
        <v>20</v>
      </c>
      <c r="G373" s="1" t="s">
        <v>16</v>
      </c>
      <c r="H373" s="1" t="s">
        <v>29</v>
      </c>
      <c r="I373" s="4">
        <v>450.72</v>
      </c>
      <c r="J373" s="4">
        <v>918.17</v>
      </c>
      <c r="K373">
        <v>33</v>
      </c>
      <c r="L373" s="3">
        <v>0.11</v>
      </c>
      <c r="M373" s="4">
        <v>14873.76</v>
      </c>
      <c r="N373" s="4">
        <v>30295.98</v>
      </c>
      <c r="O373" s="4">
        <v>15422.22</v>
      </c>
      <c r="P373" s="3">
        <v>0.50905169596758404</v>
      </c>
    </row>
    <row r="374" spans="1:16" x14ac:dyDescent="0.3">
      <c r="A374">
        <v>1016</v>
      </c>
      <c r="B374" s="2">
        <v>45155</v>
      </c>
      <c r="C374" s="1" t="s">
        <v>12</v>
      </c>
      <c r="D374" s="1" t="s">
        <v>19</v>
      </c>
      <c r="E374" s="1" t="s">
        <v>22</v>
      </c>
      <c r="F374" s="1" t="s">
        <v>20</v>
      </c>
      <c r="G374" s="1" t="s">
        <v>21</v>
      </c>
      <c r="H374" s="1" t="s">
        <v>29</v>
      </c>
      <c r="I374" s="4">
        <v>282.94</v>
      </c>
      <c r="J374" s="4">
        <v>779.33</v>
      </c>
      <c r="K374">
        <v>7</v>
      </c>
      <c r="L374" s="3">
        <v>0.28000000000000003</v>
      </c>
      <c r="M374" s="4">
        <v>1980.58</v>
      </c>
      <c r="N374" s="4">
        <v>5453.35</v>
      </c>
      <c r="O374" s="4">
        <v>3472.77</v>
      </c>
      <c r="P374" s="3">
        <v>0.63681406841666099</v>
      </c>
    </row>
    <row r="375" spans="1:16" x14ac:dyDescent="0.3">
      <c r="A375">
        <v>1022</v>
      </c>
      <c r="B375" s="2">
        <v>45155</v>
      </c>
      <c r="C375" s="1" t="s">
        <v>31</v>
      </c>
      <c r="D375" s="1" t="s">
        <v>27</v>
      </c>
      <c r="E375" s="1" t="s">
        <v>22</v>
      </c>
      <c r="F375" s="1" t="s">
        <v>15</v>
      </c>
      <c r="G375" s="1" t="s">
        <v>25</v>
      </c>
      <c r="H375" s="1" t="s">
        <v>17</v>
      </c>
      <c r="I375" s="4">
        <v>2537.1999999999998</v>
      </c>
      <c r="J375" s="4">
        <v>2869.6</v>
      </c>
      <c r="K375">
        <v>21</v>
      </c>
      <c r="L375" s="3">
        <v>0.28999999999999998</v>
      </c>
      <c r="M375" s="4">
        <v>53281.2</v>
      </c>
      <c r="N375" s="4">
        <v>60255.51</v>
      </c>
      <c r="O375" s="4">
        <v>6974.31</v>
      </c>
      <c r="P375" s="3">
        <v>0.115745597373585</v>
      </c>
    </row>
    <row r="376" spans="1:16" x14ac:dyDescent="0.3">
      <c r="A376">
        <v>1060</v>
      </c>
      <c r="B376" s="2">
        <v>45155</v>
      </c>
      <c r="C376" s="1" t="s">
        <v>23</v>
      </c>
      <c r="D376" s="1" t="s">
        <v>13</v>
      </c>
      <c r="E376" s="1" t="s">
        <v>14</v>
      </c>
      <c r="F376" s="1" t="s">
        <v>15</v>
      </c>
      <c r="G376" s="1" t="s">
        <v>16</v>
      </c>
      <c r="H376" s="1" t="s">
        <v>29</v>
      </c>
      <c r="I376" s="4">
        <v>3975.99</v>
      </c>
      <c r="J376" s="4">
        <v>4422.59</v>
      </c>
      <c r="K376">
        <v>16</v>
      </c>
      <c r="L376" s="3">
        <v>0.24</v>
      </c>
      <c r="M376" s="4">
        <v>63615.839999999997</v>
      </c>
      <c r="N376" s="4">
        <v>70757.600000000006</v>
      </c>
      <c r="O376" s="4">
        <v>7141.76</v>
      </c>
      <c r="P376" s="3">
        <v>0.10093276199305801</v>
      </c>
    </row>
    <row r="377" spans="1:16" x14ac:dyDescent="0.3">
      <c r="A377">
        <v>1014</v>
      </c>
      <c r="B377" s="2">
        <v>45154</v>
      </c>
      <c r="C377" s="1" t="s">
        <v>18</v>
      </c>
      <c r="D377" s="1" t="s">
        <v>27</v>
      </c>
      <c r="E377" s="1" t="s">
        <v>24</v>
      </c>
      <c r="F377" s="1" t="s">
        <v>20</v>
      </c>
      <c r="G377" s="1" t="s">
        <v>16</v>
      </c>
      <c r="H377" s="1" t="s">
        <v>29</v>
      </c>
      <c r="I377" s="4">
        <v>433.19</v>
      </c>
      <c r="J377" s="4">
        <v>800.6</v>
      </c>
      <c r="K377">
        <v>26</v>
      </c>
      <c r="L377" s="3">
        <v>0.2</v>
      </c>
      <c r="M377" s="4">
        <v>11262.94</v>
      </c>
      <c r="N377" s="4">
        <v>20810.400000000001</v>
      </c>
      <c r="O377" s="4">
        <v>9547.4599999999991</v>
      </c>
      <c r="P377" s="3">
        <v>0.45878310844577702</v>
      </c>
    </row>
    <row r="378" spans="1:16" x14ac:dyDescent="0.3">
      <c r="A378">
        <v>1059</v>
      </c>
      <c r="B378" s="2">
        <v>45154</v>
      </c>
      <c r="C378" s="1" t="s">
        <v>26</v>
      </c>
      <c r="D378" s="1" t="s">
        <v>19</v>
      </c>
      <c r="E378" s="1" t="s">
        <v>14</v>
      </c>
      <c r="F378" s="1" t="s">
        <v>15</v>
      </c>
      <c r="G378" s="1" t="s">
        <v>21</v>
      </c>
      <c r="H378" s="1" t="s">
        <v>29</v>
      </c>
      <c r="I378" s="4">
        <v>3110.54</v>
      </c>
      <c r="J378" s="4">
        <v>3192.99</v>
      </c>
      <c r="K378">
        <v>21</v>
      </c>
      <c r="L378" s="3">
        <v>0.17</v>
      </c>
      <c r="M378" s="4">
        <v>65321.34</v>
      </c>
      <c r="N378" s="4">
        <v>67049.22</v>
      </c>
      <c r="O378" s="4">
        <v>1727.88</v>
      </c>
      <c r="P378" s="3">
        <v>2.57703221603473E-2</v>
      </c>
    </row>
    <row r="379" spans="1:16" x14ac:dyDescent="0.3">
      <c r="A379">
        <v>1086</v>
      </c>
      <c r="B379" s="2">
        <v>45154</v>
      </c>
      <c r="C379" s="1" t="s">
        <v>26</v>
      </c>
      <c r="D379" s="1" t="s">
        <v>13</v>
      </c>
      <c r="E379" s="1" t="s">
        <v>22</v>
      </c>
      <c r="F379" s="1" t="s">
        <v>20</v>
      </c>
      <c r="G379" s="1" t="s">
        <v>16</v>
      </c>
      <c r="H379" s="1" t="s">
        <v>29</v>
      </c>
      <c r="I379" s="4">
        <v>2632.58</v>
      </c>
      <c r="J379" s="4">
        <v>2926.68</v>
      </c>
      <c r="K379">
        <v>48</v>
      </c>
      <c r="L379" s="3">
        <v>0.14000000000000001</v>
      </c>
      <c r="M379" s="4">
        <v>126363.84</v>
      </c>
      <c r="N379" s="4">
        <v>140473.92000000001</v>
      </c>
      <c r="O379" s="4">
        <v>14110.08</v>
      </c>
      <c r="P379" s="3">
        <v>0.100446260772106</v>
      </c>
    </row>
    <row r="380" spans="1:16" x14ac:dyDescent="0.3">
      <c r="A380">
        <v>1033</v>
      </c>
      <c r="B380" s="2">
        <v>45153</v>
      </c>
      <c r="C380" s="1" t="s">
        <v>12</v>
      </c>
      <c r="D380" s="1" t="s">
        <v>13</v>
      </c>
      <c r="E380" s="1" t="s">
        <v>14</v>
      </c>
      <c r="F380" s="1" t="s">
        <v>20</v>
      </c>
      <c r="G380" s="1" t="s">
        <v>16</v>
      </c>
      <c r="H380" s="1" t="s">
        <v>29</v>
      </c>
      <c r="I380" s="4">
        <v>1412.09</v>
      </c>
      <c r="J380" s="4">
        <v>1596.65</v>
      </c>
      <c r="K380">
        <v>29</v>
      </c>
      <c r="L380" s="3">
        <v>7.0000000000000007E-2</v>
      </c>
      <c r="M380" s="4">
        <v>40950.61</v>
      </c>
      <c r="N380" s="4">
        <v>46300.82</v>
      </c>
      <c r="O380" s="4">
        <v>5350.21</v>
      </c>
      <c r="P380" s="3">
        <v>0.115553245061319</v>
      </c>
    </row>
    <row r="381" spans="1:16" x14ac:dyDescent="0.3">
      <c r="A381">
        <v>1046</v>
      </c>
      <c r="B381" s="2">
        <v>45153</v>
      </c>
      <c r="C381" s="1" t="s">
        <v>26</v>
      </c>
      <c r="D381" s="1" t="s">
        <v>27</v>
      </c>
      <c r="E381" s="1" t="s">
        <v>24</v>
      </c>
      <c r="F381" s="1" t="s">
        <v>20</v>
      </c>
      <c r="G381" s="1" t="s">
        <v>25</v>
      </c>
      <c r="H381" s="1" t="s">
        <v>17</v>
      </c>
      <c r="I381" s="4">
        <v>4095.1</v>
      </c>
      <c r="J381" s="4">
        <v>4134.55</v>
      </c>
      <c r="K381">
        <v>4</v>
      </c>
      <c r="L381" s="3">
        <v>0.09</v>
      </c>
      <c r="M381" s="4">
        <v>16380.4</v>
      </c>
      <c r="N381" s="4">
        <v>16537.84</v>
      </c>
      <c r="O381" s="4">
        <v>157.44</v>
      </c>
      <c r="P381" s="3">
        <v>9.5199856813223491E-3</v>
      </c>
    </row>
    <row r="382" spans="1:16" x14ac:dyDescent="0.3">
      <c r="A382">
        <v>1063</v>
      </c>
      <c r="B382" s="2">
        <v>45153</v>
      </c>
      <c r="C382" s="1" t="s">
        <v>26</v>
      </c>
      <c r="D382" s="1" t="s">
        <v>13</v>
      </c>
      <c r="E382" s="1" t="s">
        <v>22</v>
      </c>
      <c r="F382" s="1" t="s">
        <v>15</v>
      </c>
      <c r="G382" s="1" t="s">
        <v>21</v>
      </c>
      <c r="H382" s="1" t="s">
        <v>17</v>
      </c>
      <c r="I382" s="4">
        <v>1046.96</v>
      </c>
      <c r="J382" s="4">
        <v>1528.15</v>
      </c>
      <c r="K382">
        <v>26</v>
      </c>
      <c r="L382" s="3">
        <v>7.0000000000000007E-2</v>
      </c>
      <c r="M382" s="4">
        <v>27220.959999999999</v>
      </c>
      <c r="N382" s="4">
        <v>39730.080000000002</v>
      </c>
      <c r="O382" s="4">
        <v>12509.12</v>
      </c>
      <c r="P382" s="3">
        <v>0.314852625516989</v>
      </c>
    </row>
    <row r="383" spans="1:16" x14ac:dyDescent="0.3">
      <c r="A383">
        <v>1068</v>
      </c>
      <c r="B383" s="2">
        <v>45153</v>
      </c>
      <c r="C383" s="1" t="s">
        <v>26</v>
      </c>
      <c r="D383" s="1" t="s">
        <v>27</v>
      </c>
      <c r="E383" s="1" t="s">
        <v>22</v>
      </c>
      <c r="F383" s="1" t="s">
        <v>20</v>
      </c>
      <c r="G383" s="1" t="s">
        <v>21</v>
      </c>
      <c r="H383" s="1" t="s">
        <v>17</v>
      </c>
      <c r="I383" s="4">
        <v>1142.53</v>
      </c>
      <c r="J383" s="4">
        <v>1384.3</v>
      </c>
      <c r="K383">
        <v>21</v>
      </c>
      <c r="L383" s="3">
        <v>0.02</v>
      </c>
      <c r="M383" s="4">
        <v>23993.13</v>
      </c>
      <c r="N383" s="4">
        <v>29069.88</v>
      </c>
      <c r="O383" s="4">
        <v>5076.75</v>
      </c>
      <c r="P383" s="3">
        <v>0.174639523795764</v>
      </c>
    </row>
    <row r="384" spans="1:16" x14ac:dyDescent="0.3">
      <c r="A384">
        <v>1074</v>
      </c>
      <c r="B384" s="2">
        <v>45153</v>
      </c>
      <c r="C384" s="1" t="s">
        <v>18</v>
      </c>
      <c r="D384" s="1" t="s">
        <v>19</v>
      </c>
      <c r="E384" s="1" t="s">
        <v>24</v>
      </c>
      <c r="F384" s="1" t="s">
        <v>15</v>
      </c>
      <c r="G384" s="1" t="s">
        <v>25</v>
      </c>
      <c r="H384" s="1" t="s">
        <v>17</v>
      </c>
      <c r="I384" s="4">
        <v>1723.01</v>
      </c>
      <c r="J384" s="4">
        <v>2197.42</v>
      </c>
      <c r="K384">
        <v>29</v>
      </c>
      <c r="L384" s="3">
        <v>7.0000000000000007E-2</v>
      </c>
      <c r="M384" s="4">
        <v>49967.29</v>
      </c>
      <c r="N384" s="4">
        <v>63723.15</v>
      </c>
      <c r="O384" s="4">
        <v>13755.86</v>
      </c>
      <c r="P384" s="3">
        <v>0.215869115070426</v>
      </c>
    </row>
    <row r="385" spans="1:16" x14ac:dyDescent="0.3">
      <c r="A385">
        <v>1075</v>
      </c>
      <c r="B385" s="2">
        <v>45153</v>
      </c>
      <c r="C385" s="1" t="s">
        <v>31</v>
      </c>
      <c r="D385" s="1" t="s">
        <v>30</v>
      </c>
      <c r="E385" s="1" t="s">
        <v>14</v>
      </c>
      <c r="F385" s="1" t="s">
        <v>20</v>
      </c>
      <c r="G385" s="1" t="s">
        <v>25</v>
      </c>
      <c r="H385" s="1" t="s">
        <v>17</v>
      </c>
      <c r="I385" s="4">
        <v>2570.2199999999998</v>
      </c>
      <c r="J385" s="4">
        <v>2610.84</v>
      </c>
      <c r="K385">
        <v>28</v>
      </c>
      <c r="L385" s="3">
        <v>0.27</v>
      </c>
      <c r="M385" s="4">
        <v>71966.16</v>
      </c>
      <c r="N385" s="4">
        <v>73095.960000000006</v>
      </c>
      <c r="O385" s="4">
        <v>1129.8</v>
      </c>
      <c r="P385" s="3">
        <v>1.54563945804939E-2</v>
      </c>
    </row>
    <row r="386" spans="1:16" x14ac:dyDescent="0.3">
      <c r="A386">
        <v>1013</v>
      </c>
      <c r="B386" s="2">
        <v>45152</v>
      </c>
      <c r="C386" s="1" t="s">
        <v>26</v>
      </c>
      <c r="D386" s="1" t="s">
        <v>13</v>
      </c>
      <c r="E386" s="1" t="s">
        <v>14</v>
      </c>
      <c r="F386" s="1" t="s">
        <v>15</v>
      </c>
      <c r="G386" s="1" t="s">
        <v>21</v>
      </c>
      <c r="H386" s="1" t="s">
        <v>29</v>
      </c>
      <c r="I386" s="4">
        <v>3749.12</v>
      </c>
      <c r="J386" s="4">
        <v>4138.83</v>
      </c>
      <c r="K386">
        <v>26</v>
      </c>
      <c r="L386" s="3">
        <v>0.13</v>
      </c>
      <c r="M386" s="4">
        <v>97477.119999999995</v>
      </c>
      <c r="N386" s="4">
        <v>107606.2</v>
      </c>
      <c r="O386" s="4">
        <v>10129.08</v>
      </c>
      <c r="P386" s="3">
        <v>9.4131007321139507E-2</v>
      </c>
    </row>
    <row r="387" spans="1:16" x14ac:dyDescent="0.3">
      <c r="A387">
        <v>1063</v>
      </c>
      <c r="B387" s="2">
        <v>45152</v>
      </c>
      <c r="C387" s="1" t="s">
        <v>23</v>
      </c>
      <c r="D387" s="1" t="s">
        <v>30</v>
      </c>
      <c r="E387" s="1" t="s">
        <v>14</v>
      </c>
      <c r="F387" s="1" t="s">
        <v>15</v>
      </c>
      <c r="G387" s="1" t="s">
        <v>16</v>
      </c>
      <c r="H387" s="1" t="s">
        <v>29</v>
      </c>
      <c r="I387" s="4">
        <v>3760.25</v>
      </c>
      <c r="J387" s="4">
        <v>4147.1099999999997</v>
      </c>
      <c r="K387">
        <v>27</v>
      </c>
      <c r="L387" s="3">
        <v>0.22</v>
      </c>
      <c r="M387" s="4">
        <v>101526.75</v>
      </c>
      <c r="N387" s="4">
        <v>111966.03</v>
      </c>
      <c r="O387" s="4">
        <v>10439.280000000001</v>
      </c>
      <c r="P387" s="3">
        <v>9.3236135995890895E-2</v>
      </c>
    </row>
    <row r="388" spans="1:16" x14ac:dyDescent="0.3">
      <c r="A388">
        <v>1065</v>
      </c>
      <c r="B388" s="2">
        <v>45152</v>
      </c>
      <c r="C388" s="1" t="s">
        <v>23</v>
      </c>
      <c r="D388" s="1" t="s">
        <v>19</v>
      </c>
      <c r="E388" s="1" t="s">
        <v>14</v>
      </c>
      <c r="F388" s="1" t="s">
        <v>20</v>
      </c>
      <c r="G388" s="1" t="s">
        <v>16</v>
      </c>
      <c r="H388" s="1" t="s">
        <v>17</v>
      </c>
      <c r="I388" s="4">
        <v>4337.8500000000004</v>
      </c>
      <c r="J388" s="4">
        <v>4612.49</v>
      </c>
      <c r="K388">
        <v>26</v>
      </c>
      <c r="L388" s="3">
        <v>0.01</v>
      </c>
      <c r="M388" s="4">
        <v>112784.1</v>
      </c>
      <c r="N388" s="4">
        <v>119924.48</v>
      </c>
      <c r="O388" s="4">
        <v>7140.38</v>
      </c>
      <c r="P388" s="3">
        <v>5.95406375745803E-2</v>
      </c>
    </row>
    <row r="389" spans="1:16" x14ac:dyDescent="0.3">
      <c r="A389">
        <v>1066</v>
      </c>
      <c r="B389" s="2">
        <v>45152</v>
      </c>
      <c r="C389" s="1" t="s">
        <v>26</v>
      </c>
      <c r="D389" s="1" t="s">
        <v>27</v>
      </c>
      <c r="E389" s="1" t="s">
        <v>28</v>
      </c>
      <c r="F389" s="1" t="s">
        <v>15</v>
      </c>
      <c r="G389" s="1" t="s">
        <v>25</v>
      </c>
      <c r="H389" s="1" t="s">
        <v>17</v>
      </c>
      <c r="I389" s="4">
        <v>955.18</v>
      </c>
      <c r="J389" s="4">
        <v>1072.82</v>
      </c>
      <c r="K389">
        <v>20</v>
      </c>
      <c r="L389" s="3">
        <v>0.03</v>
      </c>
      <c r="M389" s="4">
        <v>19103.599999999999</v>
      </c>
      <c r="N389" s="4">
        <v>21455.8</v>
      </c>
      <c r="O389" s="4">
        <v>2352.1999999999998</v>
      </c>
      <c r="P389" s="3">
        <v>0.10963003010840899</v>
      </c>
    </row>
    <row r="390" spans="1:16" x14ac:dyDescent="0.3">
      <c r="A390">
        <v>1083</v>
      </c>
      <c r="B390" s="2">
        <v>45152</v>
      </c>
      <c r="C390" s="1" t="s">
        <v>12</v>
      </c>
      <c r="D390" s="1" t="s">
        <v>19</v>
      </c>
      <c r="E390" s="1" t="s">
        <v>14</v>
      </c>
      <c r="F390" s="1" t="s">
        <v>15</v>
      </c>
      <c r="G390" s="1" t="s">
        <v>25</v>
      </c>
      <c r="H390" s="1" t="s">
        <v>29</v>
      </c>
      <c r="I390" s="4">
        <v>2505.41</v>
      </c>
      <c r="J390" s="4">
        <v>2638.96</v>
      </c>
      <c r="K390">
        <v>42</v>
      </c>
      <c r="L390" s="3">
        <v>0.1</v>
      </c>
      <c r="M390" s="4">
        <v>105227.22</v>
      </c>
      <c r="N390" s="4">
        <v>110832.12</v>
      </c>
      <c r="O390" s="4">
        <v>5604.9</v>
      </c>
      <c r="P390" s="3">
        <v>5.0571079936032999E-2</v>
      </c>
    </row>
    <row r="391" spans="1:16" x14ac:dyDescent="0.3">
      <c r="A391">
        <v>1093</v>
      </c>
      <c r="B391" s="2">
        <v>45152</v>
      </c>
      <c r="C391" s="1" t="s">
        <v>18</v>
      </c>
      <c r="D391" s="1" t="s">
        <v>19</v>
      </c>
      <c r="E391" s="1" t="s">
        <v>22</v>
      </c>
      <c r="F391" s="1" t="s">
        <v>20</v>
      </c>
      <c r="G391" s="1" t="s">
        <v>21</v>
      </c>
      <c r="H391" s="1" t="s">
        <v>29</v>
      </c>
      <c r="I391" s="4">
        <v>235.12</v>
      </c>
      <c r="J391" s="4">
        <v>677.5</v>
      </c>
      <c r="K391">
        <v>6</v>
      </c>
      <c r="L391" s="3">
        <v>0.16</v>
      </c>
      <c r="M391" s="4">
        <v>1410.72</v>
      </c>
      <c r="N391" s="4">
        <v>4064.04</v>
      </c>
      <c r="O391" s="4">
        <v>2653.32</v>
      </c>
      <c r="P391" s="3">
        <v>0.65287743230873696</v>
      </c>
    </row>
    <row r="392" spans="1:16" x14ac:dyDescent="0.3">
      <c r="A392">
        <v>1100</v>
      </c>
      <c r="B392" s="2">
        <v>45152</v>
      </c>
      <c r="C392" s="1" t="s">
        <v>23</v>
      </c>
      <c r="D392" s="1" t="s">
        <v>19</v>
      </c>
      <c r="E392" s="1" t="s">
        <v>22</v>
      </c>
      <c r="F392" s="1" t="s">
        <v>20</v>
      </c>
      <c r="G392" s="1" t="s">
        <v>25</v>
      </c>
      <c r="H392" s="1" t="s">
        <v>29</v>
      </c>
      <c r="I392" s="4">
        <v>1100.81</v>
      </c>
      <c r="J392" s="4">
        <v>1137.44</v>
      </c>
      <c r="K392">
        <v>43</v>
      </c>
      <c r="L392" s="3">
        <v>0.08</v>
      </c>
      <c r="M392" s="4">
        <v>47334.83</v>
      </c>
      <c r="N392" s="4">
        <v>48906.48</v>
      </c>
      <c r="O392" s="4">
        <v>1571.65</v>
      </c>
      <c r="P392" s="3">
        <v>3.21358233101217E-2</v>
      </c>
    </row>
    <row r="393" spans="1:16" x14ac:dyDescent="0.3">
      <c r="A393">
        <v>1023</v>
      </c>
      <c r="B393" s="2">
        <v>45151</v>
      </c>
      <c r="C393" s="1" t="s">
        <v>23</v>
      </c>
      <c r="D393" s="1" t="s">
        <v>13</v>
      </c>
      <c r="E393" s="1" t="s">
        <v>14</v>
      </c>
      <c r="F393" s="1" t="s">
        <v>15</v>
      </c>
      <c r="G393" s="1" t="s">
        <v>21</v>
      </c>
      <c r="H393" s="1" t="s">
        <v>17</v>
      </c>
      <c r="I393" s="4">
        <v>324.45</v>
      </c>
      <c r="J393" s="4">
        <v>336.37</v>
      </c>
      <c r="K393">
        <v>38</v>
      </c>
      <c r="L393" s="3">
        <v>0.28000000000000003</v>
      </c>
      <c r="M393" s="4">
        <v>12329.1</v>
      </c>
      <c r="N393" s="4">
        <v>12771.42</v>
      </c>
      <c r="O393" s="4">
        <v>442.32</v>
      </c>
      <c r="P393" s="3">
        <v>3.4633580290993497E-2</v>
      </c>
    </row>
    <row r="394" spans="1:16" x14ac:dyDescent="0.3">
      <c r="A394">
        <v>1035</v>
      </c>
      <c r="B394" s="2">
        <v>45151</v>
      </c>
      <c r="C394" s="1" t="s">
        <v>26</v>
      </c>
      <c r="D394" s="1" t="s">
        <v>19</v>
      </c>
      <c r="E394" s="1" t="s">
        <v>14</v>
      </c>
      <c r="F394" s="1" t="s">
        <v>15</v>
      </c>
      <c r="G394" s="1" t="s">
        <v>21</v>
      </c>
      <c r="H394" s="1" t="s">
        <v>17</v>
      </c>
      <c r="I394" s="4">
        <v>3991.69</v>
      </c>
      <c r="J394" s="4">
        <v>4454.97</v>
      </c>
      <c r="K394">
        <v>5</v>
      </c>
      <c r="L394" s="3">
        <v>0.14000000000000001</v>
      </c>
      <c r="M394" s="4">
        <v>19958.45</v>
      </c>
      <c r="N394" s="4">
        <v>22274.15</v>
      </c>
      <c r="O394" s="4">
        <v>2315.6999999999998</v>
      </c>
      <c r="P394" s="3">
        <v>0.103963563143824</v>
      </c>
    </row>
    <row r="395" spans="1:16" x14ac:dyDescent="0.3">
      <c r="A395">
        <v>1084</v>
      </c>
      <c r="B395" s="2">
        <v>45151</v>
      </c>
      <c r="C395" s="1" t="s">
        <v>26</v>
      </c>
      <c r="D395" s="1" t="s">
        <v>19</v>
      </c>
      <c r="E395" s="1" t="s">
        <v>24</v>
      </c>
      <c r="F395" s="1" t="s">
        <v>15</v>
      </c>
      <c r="G395" s="1" t="s">
        <v>16</v>
      </c>
      <c r="H395" s="1" t="s">
        <v>29</v>
      </c>
      <c r="I395" s="4">
        <v>3497.98</v>
      </c>
      <c r="J395" s="4">
        <v>3765.31</v>
      </c>
      <c r="K395">
        <v>21</v>
      </c>
      <c r="L395" s="3">
        <v>0.08</v>
      </c>
      <c r="M395" s="4">
        <v>73457.58</v>
      </c>
      <c r="N395" s="4">
        <v>79069.83</v>
      </c>
      <c r="O395" s="4">
        <v>5612.25</v>
      </c>
      <c r="P395" s="3">
        <v>7.0978399725913202E-2</v>
      </c>
    </row>
    <row r="396" spans="1:16" x14ac:dyDescent="0.3">
      <c r="A396">
        <v>1018</v>
      </c>
      <c r="B396" s="2">
        <v>45150</v>
      </c>
      <c r="C396" s="1" t="s">
        <v>31</v>
      </c>
      <c r="D396" s="1" t="s">
        <v>30</v>
      </c>
      <c r="E396" s="1" t="s">
        <v>28</v>
      </c>
      <c r="F396" s="1" t="s">
        <v>15</v>
      </c>
      <c r="G396" s="1" t="s">
        <v>25</v>
      </c>
      <c r="H396" s="1" t="s">
        <v>29</v>
      </c>
      <c r="I396" s="4">
        <v>3161.09</v>
      </c>
      <c r="J396" s="4">
        <v>3216.42</v>
      </c>
      <c r="K396">
        <v>9</v>
      </c>
      <c r="L396" s="3">
        <v>0.17</v>
      </c>
      <c r="M396" s="4">
        <v>28449.81</v>
      </c>
      <c r="N396" s="4">
        <v>28946.25</v>
      </c>
      <c r="O396" s="4">
        <v>496.44</v>
      </c>
      <c r="P396" s="3">
        <v>1.7150408083948701E-2</v>
      </c>
    </row>
    <row r="397" spans="1:16" x14ac:dyDescent="0.3">
      <c r="A397">
        <v>1028</v>
      </c>
      <c r="B397" s="2">
        <v>45150</v>
      </c>
      <c r="C397" s="1" t="s">
        <v>31</v>
      </c>
      <c r="D397" s="1" t="s">
        <v>27</v>
      </c>
      <c r="E397" s="1" t="s">
        <v>14</v>
      </c>
      <c r="F397" s="1" t="s">
        <v>15</v>
      </c>
      <c r="G397" s="1" t="s">
        <v>25</v>
      </c>
      <c r="H397" s="1" t="s">
        <v>17</v>
      </c>
      <c r="I397" s="4">
        <v>3956.03</v>
      </c>
      <c r="J397" s="4">
        <v>4163.68</v>
      </c>
      <c r="K397">
        <v>41</v>
      </c>
      <c r="L397" s="3">
        <v>0.12</v>
      </c>
      <c r="M397" s="4">
        <v>162197.23000000001</v>
      </c>
      <c r="N397" s="4">
        <v>170705.96</v>
      </c>
      <c r="O397" s="4">
        <v>8508.73</v>
      </c>
      <c r="P397" s="3">
        <v>4.9844363957766903E-2</v>
      </c>
    </row>
    <row r="398" spans="1:16" x14ac:dyDescent="0.3">
      <c r="A398">
        <v>1060</v>
      </c>
      <c r="B398" s="2">
        <v>45150</v>
      </c>
      <c r="C398" s="1" t="s">
        <v>18</v>
      </c>
      <c r="D398" s="1" t="s">
        <v>30</v>
      </c>
      <c r="E398" s="1" t="s">
        <v>24</v>
      </c>
      <c r="F398" s="1" t="s">
        <v>20</v>
      </c>
      <c r="G398" s="1" t="s">
        <v>16</v>
      </c>
      <c r="H398" s="1" t="s">
        <v>17</v>
      </c>
      <c r="I398" s="4">
        <v>3970.08</v>
      </c>
      <c r="J398" s="4">
        <v>4096.4799999999996</v>
      </c>
      <c r="K398">
        <v>5</v>
      </c>
      <c r="L398" s="3">
        <v>0.13</v>
      </c>
      <c r="M398" s="4">
        <v>19850.400000000001</v>
      </c>
      <c r="N398" s="4">
        <v>20481.75</v>
      </c>
      <c r="O398" s="4">
        <v>631.35</v>
      </c>
      <c r="P398" s="3">
        <v>3.0825002746347401E-2</v>
      </c>
    </row>
    <row r="399" spans="1:16" x14ac:dyDescent="0.3">
      <c r="A399">
        <v>1074</v>
      </c>
      <c r="B399" s="2">
        <v>45150</v>
      </c>
      <c r="C399" s="1" t="s">
        <v>23</v>
      </c>
      <c r="D399" s="1" t="s">
        <v>13</v>
      </c>
      <c r="E399" s="1" t="s">
        <v>22</v>
      </c>
      <c r="F399" s="1" t="s">
        <v>20</v>
      </c>
      <c r="G399" s="1" t="s">
        <v>25</v>
      </c>
      <c r="H399" s="1" t="s">
        <v>29</v>
      </c>
      <c r="I399" s="4">
        <v>2868.02</v>
      </c>
      <c r="J399" s="4">
        <v>2994.74</v>
      </c>
      <c r="K399">
        <v>2</v>
      </c>
      <c r="L399" s="3">
        <v>0.18</v>
      </c>
      <c r="M399" s="4">
        <v>5736.04</v>
      </c>
      <c r="N399" s="4">
        <v>5989.12</v>
      </c>
      <c r="O399" s="4">
        <v>253.08</v>
      </c>
      <c r="P399" s="3">
        <v>4.2256625347296399E-2</v>
      </c>
    </row>
    <row r="400" spans="1:16" x14ac:dyDescent="0.3">
      <c r="A400">
        <v>1075</v>
      </c>
      <c r="B400" s="2">
        <v>45150</v>
      </c>
      <c r="C400" s="1" t="s">
        <v>18</v>
      </c>
      <c r="D400" s="1" t="s">
        <v>13</v>
      </c>
      <c r="E400" s="1" t="s">
        <v>24</v>
      </c>
      <c r="F400" s="1" t="s">
        <v>20</v>
      </c>
      <c r="G400" s="1" t="s">
        <v>25</v>
      </c>
      <c r="H400" s="1" t="s">
        <v>17</v>
      </c>
      <c r="I400" s="4">
        <v>1612.93</v>
      </c>
      <c r="J400" s="4">
        <v>1964.15</v>
      </c>
      <c r="K400">
        <v>14</v>
      </c>
      <c r="L400" s="3">
        <v>0.24</v>
      </c>
      <c r="M400" s="4">
        <v>22581.02</v>
      </c>
      <c r="N400" s="4">
        <v>27494.74</v>
      </c>
      <c r="O400" s="4">
        <v>4913.72</v>
      </c>
      <c r="P400" s="3">
        <v>0.178714910561075</v>
      </c>
    </row>
    <row r="401" spans="1:16" x14ac:dyDescent="0.3">
      <c r="A401">
        <v>1015</v>
      </c>
      <c r="B401" s="2">
        <v>45149</v>
      </c>
      <c r="C401" s="1" t="s">
        <v>12</v>
      </c>
      <c r="D401" s="1" t="s">
        <v>13</v>
      </c>
      <c r="E401" s="1" t="s">
        <v>24</v>
      </c>
      <c r="F401" s="1" t="s">
        <v>20</v>
      </c>
      <c r="G401" s="1" t="s">
        <v>16</v>
      </c>
      <c r="H401" s="1" t="s">
        <v>17</v>
      </c>
      <c r="I401" s="4">
        <v>970.51</v>
      </c>
      <c r="J401" s="4">
        <v>1330.84</v>
      </c>
      <c r="K401">
        <v>32</v>
      </c>
      <c r="L401" s="3">
        <v>0.06</v>
      </c>
      <c r="M401" s="4">
        <v>31056.32</v>
      </c>
      <c r="N401" s="4">
        <v>42584.959999999999</v>
      </c>
      <c r="O401" s="4">
        <v>11528.64</v>
      </c>
      <c r="P401" s="3">
        <v>0.27072093058206498</v>
      </c>
    </row>
    <row r="402" spans="1:16" x14ac:dyDescent="0.3">
      <c r="A402">
        <v>1027</v>
      </c>
      <c r="B402" s="2">
        <v>45149</v>
      </c>
      <c r="C402" s="1" t="s">
        <v>12</v>
      </c>
      <c r="D402" s="1" t="s">
        <v>30</v>
      </c>
      <c r="E402" s="1" t="s">
        <v>14</v>
      </c>
      <c r="F402" s="1" t="s">
        <v>15</v>
      </c>
      <c r="G402" s="1" t="s">
        <v>16</v>
      </c>
      <c r="H402" s="1" t="s">
        <v>17</v>
      </c>
      <c r="I402" s="4">
        <v>4232.6099999999997</v>
      </c>
      <c r="J402" s="4">
        <v>4572.21</v>
      </c>
      <c r="K402">
        <v>43</v>
      </c>
      <c r="L402" s="3">
        <v>0.01</v>
      </c>
      <c r="M402" s="4">
        <v>182002.23</v>
      </c>
      <c r="N402" s="4">
        <v>196604.6</v>
      </c>
      <c r="O402" s="4">
        <v>14602.37</v>
      </c>
      <c r="P402" s="3">
        <v>7.42727789685491E-2</v>
      </c>
    </row>
    <row r="403" spans="1:16" x14ac:dyDescent="0.3">
      <c r="A403">
        <v>1028</v>
      </c>
      <c r="B403" s="2">
        <v>45149</v>
      </c>
      <c r="C403" s="1" t="s">
        <v>31</v>
      </c>
      <c r="D403" s="1" t="s">
        <v>19</v>
      </c>
      <c r="E403" s="1" t="s">
        <v>14</v>
      </c>
      <c r="F403" s="1" t="s">
        <v>20</v>
      </c>
      <c r="G403" s="1" t="s">
        <v>25</v>
      </c>
      <c r="H403" s="1" t="s">
        <v>29</v>
      </c>
      <c r="I403" s="4">
        <v>4848.9799999999996</v>
      </c>
      <c r="J403" s="4">
        <v>4985.75</v>
      </c>
      <c r="K403">
        <v>45</v>
      </c>
      <c r="L403" s="3">
        <v>0.2</v>
      </c>
      <c r="M403" s="4">
        <v>218204.1</v>
      </c>
      <c r="N403" s="4">
        <v>224349.75</v>
      </c>
      <c r="O403" s="4">
        <v>6145.65</v>
      </c>
      <c r="P403" s="3">
        <v>2.7393166250463799E-2</v>
      </c>
    </row>
    <row r="404" spans="1:16" x14ac:dyDescent="0.3">
      <c r="A404">
        <v>1032</v>
      </c>
      <c r="B404" s="2">
        <v>45149</v>
      </c>
      <c r="C404" s="1" t="s">
        <v>18</v>
      </c>
      <c r="D404" s="1" t="s">
        <v>13</v>
      </c>
      <c r="E404" s="1" t="s">
        <v>22</v>
      </c>
      <c r="F404" s="1" t="s">
        <v>15</v>
      </c>
      <c r="G404" s="1" t="s">
        <v>25</v>
      </c>
      <c r="H404" s="1" t="s">
        <v>29</v>
      </c>
      <c r="I404" s="4">
        <v>4714.74</v>
      </c>
      <c r="J404" s="4">
        <v>5129.1099999999997</v>
      </c>
      <c r="K404">
        <v>5</v>
      </c>
      <c r="L404" s="3">
        <v>0.25</v>
      </c>
      <c r="M404" s="4">
        <v>23573.7</v>
      </c>
      <c r="N404" s="4">
        <v>25644.3</v>
      </c>
      <c r="O404" s="4">
        <v>2070.6</v>
      </c>
      <c r="P404" s="3">
        <v>8.0743089107520996E-2</v>
      </c>
    </row>
    <row r="405" spans="1:16" x14ac:dyDescent="0.3">
      <c r="A405">
        <v>1082</v>
      </c>
      <c r="B405" s="2">
        <v>45149</v>
      </c>
      <c r="C405" s="1" t="s">
        <v>31</v>
      </c>
      <c r="D405" s="1" t="s">
        <v>30</v>
      </c>
      <c r="E405" s="1" t="s">
        <v>24</v>
      </c>
      <c r="F405" s="1" t="s">
        <v>15</v>
      </c>
      <c r="G405" s="1" t="s">
        <v>25</v>
      </c>
      <c r="H405" s="1" t="s">
        <v>29</v>
      </c>
      <c r="I405" s="4">
        <v>2289.2199999999998</v>
      </c>
      <c r="J405" s="4">
        <v>2581</v>
      </c>
      <c r="K405">
        <v>43</v>
      </c>
      <c r="L405" s="3">
        <v>0.05</v>
      </c>
      <c r="M405" s="4">
        <v>98436.46</v>
      </c>
      <c r="N405" s="4">
        <v>110980.85</v>
      </c>
      <c r="O405" s="4">
        <v>12544.39</v>
      </c>
      <c r="P405" s="3">
        <v>0.113032023092272</v>
      </c>
    </row>
    <row r="406" spans="1:16" x14ac:dyDescent="0.3">
      <c r="A406">
        <v>1017</v>
      </c>
      <c r="B406" s="2">
        <v>45148</v>
      </c>
      <c r="C406" s="1" t="s">
        <v>26</v>
      </c>
      <c r="D406" s="1" t="s">
        <v>30</v>
      </c>
      <c r="E406" s="1" t="s">
        <v>24</v>
      </c>
      <c r="F406" s="1" t="s">
        <v>15</v>
      </c>
      <c r="G406" s="1" t="s">
        <v>21</v>
      </c>
      <c r="H406" s="1" t="s">
        <v>29</v>
      </c>
      <c r="I406" s="4">
        <v>1454.8</v>
      </c>
      <c r="J406" s="4">
        <v>1674.97</v>
      </c>
      <c r="K406">
        <v>43</v>
      </c>
      <c r="L406" s="3">
        <v>0.03</v>
      </c>
      <c r="M406" s="4">
        <v>62556.4</v>
      </c>
      <c r="N406" s="4">
        <v>72022.42</v>
      </c>
      <c r="O406" s="4">
        <v>9466.02</v>
      </c>
      <c r="P406" s="3">
        <v>0.13143157366831101</v>
      </c>
    </row>
    <row r="407" spans="1:16" x14ac:dyDescent="0.3">
      <c r="A407">
        <v>1024</v>
      </c>
      <c r="B407" s="2">
        <v>45148</v>
      </c>
      <c r="C407" s="1" t="s">
        <v>12</v>
      </c>
      <c r="D407" s="1" t="s">
        <v>27</v>
      </c>
      <c r="E407" s="1" t="s">
        <v>22</v>
      </c>
      <c r="F407" s="1" t="s">
        <v>20</v>
      </c>
      <c r="G407" s="1" t="s">
        <v>21</v>
      </c>
      <c r="H407" s="1" t="s">
        <v>29</v>
      </c>
      <c r="I407" s="4">
        <v>1543.96</v>
      </c>
      <c r="J407" s="4">
        <v>1558.87</v>
      </c>
      <c r="K407">
        <v>30</v>
      </c>
      <c r="L407" s="3">
        <v>0.28000000000000003</v>
      </c>
      <c r="M407" s="4">
        <v>46318.8</v>
      </c>
      <c r="N407" s="4">
        <v>46757.7</v>
      </c>
      <c r="O407" s="4">
        <v>438.9</v>
      </c>
      <c r="P407" s="3">
        <v>9.3866892511821603E-3</v>
      </c>
    </row>
    <row r="408" spans="1:16" x14ac:dyDescent="0.3">
      <c r="A408">
        <v>1064</v>
      </c>
      <c r="B408" s="2">
        <v>45148</v>
      </c>
      <c r="C408" s="1" t="s">
        <v>23</v>
      </c>
      <c r="D408" s="1" t="s">
        <v>27</v>
      </c>
      <c r="E408" s="1" t="s">
        <v>22</v>
      </c>
      <c r="F408" s="1" t="s">
        <v>20</v>
      </c>
      <c r="G408" s="1" t="s">
        <v>21</v>
      </c>
      <c r="H408" s="1" t="s">
        <v>17</v>
      </c>
      <c r="I408" s="4">
        <v>421.05</v>
      </c>
      <c r="J408" s="4">
        <v>488.23</v>
      </c>
      <c r="K408">
        <v>5</v>
      </c>
      <c r="L408" s="3">
        <v>7.0000000000000007E-2</v>
      </c>
      <c r="M408" s="4">
        <v>2105.25</v>
      </c>
      <c r="N408" s="4">
        <v>2440.8000000000002</v>
      </c>
      <c r="O408" s="4">
        <v>335.55</v>
      </c>
      <c r="P408" s="3">
        <v>0.137475417895772</v>
      </c>
    </row>
    <row r="409" spans="1:16" x14ac:dyDescent="0.3">
      <c r="A409">
        <v>1075</v>
      </c>
      <c r="B409" s="2">
        <v>45148</v>
      </c>
      <c r="C409" s="1" t="s">
        <v>31</v>
      </c>
      <c r="D409" s="1" t="s">
        <v>30</v>
      </c>
      <c r="E409" s="1" t="s">
        <v>28</v>
      </c>
      <c r="F409" s="1" t="s">
        <v>20</v>
      </c>
      <c r="G409" s="1" t="s">
        <v>25</v>
      </c>
      <c r="H409" s="1" t="s">
        <v>17</v>
      </c>
      <c r="I409" s="4">
        <v>4966.66</v>
      </c>
      <c r="J409" s="4">
        <v>5037.2700000000004</v>
      </c>
      <c r="K409">
        <v>17</v>
      </c>
      <c r="L409" s="3">
        <v>0.24</v>
      </c>
      <c r="M409" s="4">
        <v>84433.22</v>
      </c>
      <c r="N409" s="4">
        <v>85629.51</v>
      </c>
      <c r="O409" s="4">
        <v>1196.29</v>
      </c>
      <c r="P409" s="3">
        <v>1.39705342235405E-2</v>
      </c>
    </row>
    <row r="410" spans="1:16" x14ac:dyDescent="0.3">
      <c r="A410">
        <v>1047</v>
      </c>
      <c r="B410" s="2">
        <v>45147</v>
      </c>
      <c r="C410" s="1" t="s">
        <v>18</v>
      </c>
      <c r="D410" s="1" t="s">
        <v>30</v>
      </c>
      <c r="E410" s="1" t="s">
        <v>14</v>
      </c>
      <c r="F410" s="1" t="s">
        <v>15</v>
      </c>
      <c r="G410" s="1" t="s">
        <v>16</v>
      </c>
      <c r="H410" s="1" t="s">
        <v>17</v>
      </c>
      <c r="I410" s="4">
        <v>2888.49</v>
      </c>
      <c r="J410" s="4">
        <v>2929.45</v>
      </c>
      <c r="K410">
        <v>41</v>
      </c>
      <c r="L410" s="3">
        <v>0.06</v>
      </c>
      <c r="M410" s="4">
        <v>118428.09</v>
      </c>
      <c r="N410" s="4">
        <v>120104.99</v>
      </c>
      <c r="O410" s="4">
        <v>1676.9</v>
      </c>
      <c r="P410" s="3">
        <v>1.396195112293E-2</v>
      </c>
    </row>
    <row r="411" spans="1:16" x14ac:dyDescent="0.3">
      <c r="A411">
        <v>1044</v>
      </c>
      <c r="B411" s="2">
        <v>45146</v>
      </c>
      <c r="C411" s="1" t="s">
        <v>26</v>
      </c>
      <c r="D411" s="1" t="s">
        <v>30</v>
      </c>
      <c r="E411" s="1" t="s">
        <v>14</v>
      </c>
      <c r="F411" s="1" t="s">
        <v>15</v>
      </c>
      <c r="G411" s="1" t="s">
        <v>16</v>
      </c>
      <c r="H411" s="1" t="s">
        <v>29</v>
      </c>
      <c r="I411" s="4">
        <v>430.14</v>
      </c>
      <c r="J411" s="4">
        <v>641.17999999999995</v>
      </c>
      <c r="K411">
        <v>18</v>
      </c>
      <c r="L411" s="3">
        <v>0.13</v>
      </c>
      <c r="M411" s="4">
        <v>7742.52</v>
      </c>
      <c r="N411" s="4">
        <v>11538.9</v>
      </c>
      <c r="O411" s="4">
        <v>3796.38</v>
      </c>
      <c r="P411" s="3">
        <v>0.32900709773028602</v>
      </c>
    </row>
    <row r="412" spans="1:16" x14ac:dyDescent="0.3">
      <c r="A412">
        <v>1047</v>
      </c>
      <c r="B412" s="2">
        <v>45146</v>
      </c>
      <c r="C412" s="1" t="s">
        <v>18</v>
      </c>
      <c r="D412" s="1" t="s">
        <v>30</v>
      </c>
      <c r="E412" s="1" t="s">
        <v>28</v>
      </c>
      <c r="F412" s="1" t="s">
        <v>20</v>
      </c>
      <c r="G412" s="1" t="s">
        <v>21</v>
      </c>
      <c r="H412" s="1" t="s">
        <v>29</v>
      </c>
      <c r="I412" s="4">
        <v>1341.55</v>
      </c>
      <c r="J412" s="4">
        <v>1427.21</v>
      </c>
      <c r="K412">
        <v>33</v>
      </c>
      <c r="L412" s="3">
        <v>0.15</v>
      </c>
      <c r="M412" s="4">
        <v>44271.15</v>
      </c>
      <c r="N412" s="4">
        <v>47092.98</v>
      </c>
      <c r="O412" s="4">
        <v>2821.83</v>
      </c>
      <c r="P412" s="3">
        <v>5.9920395778733898E-2</v>
      </c>
    </row>
    <row r="413" spans="1:16" x14ac:dyDescent="0.3">
      <c r="A413">
        <v>1015</v>
      </c>
      <c r="B413" s="2">
        <v>45145</v>
      </c>
      <c r="C413" s="1" t="s">
        <v>26</v>
      </c>
      <c r="D413" s="1" t="s">
        <v>13</v>
      </c>
      <c r="E413" s="1" t="s">
        <v>14</v>
      </c>
      <c r="F413" s="1" t="s">
        <v>15</v>
      </c>
      <c r="G413" s="1" t="s">
        <v>25</v>
      </c>
      <c r="H413" s="1" t="s">
        <v>17</v>
      </c>
      <c r="I413" s="4">
        <v>433.54</v>
      </c>
      <c r="J413" s="4">
        <v>445.48</v>
      </c>
      <c r="K413">
        <v>19</v>
      </c>
      <c r="L413" s="3">
        <v>0.28999999999999998</v>
      </c>
      <c r="M413" s="4">
        <v>8237.26</v>
      </c>
      <c r="N413" s="4">
        <v>8458.61</v>
      </c>
      <c r="O413" s="4">
        <v>221.35</v>
      </c>
      <c r="P413" s="3">
        <v>2.6168602169860101E-2</v>
      </c>
    </row>
    <row r="414" spans="1:16" x14ac:dyDescent="0.3">
      <c r="A414">
        <v>1077</v>
      </c>
      <c r="B414" s="2">
        <v>45145</v>
      </c>
      <c r="C414" s="1" t="s">
        <v>31</v>
      </c>
      <c r="D414" s="1" t="s">
        <v>13</v>
      </c>
      <c r="E414" s="1" t="s">
        <v>22</v>
      </c>
      <c r="F414" s="1" t="s">
        <v>15</v>
      </c>
      <c r="G414" s="1" t="s">
        <v>25</v>
      </c>
      <c r="H414" s="1" t="s">
        <v>17</v>
      </c>
      <c r="I414" s="4">
        <v>4402.66</v>
      </c>
      <c r="J414" s="4">
        <v>4724.7</v>
      </c>
      <c r="K414">
        <v>43</v>
      </c>
      <c r="L414" s="3">
        <v>0.1</v>
      </c>
      <c r="M414" s="4">
        <v>189314.38</v>
      </c>
      <c r="N414" s="4">
        <v>203157.8</v>
      </c>
      <c r="O414" s="4">
        <v>13843.42</v>
      </c>
      <c r="P414" s="3">
        <v>6.8141218304195103E-2</v>
      </c>
    </row>
    <row r="415" spans="1:16" x14ac:dyDescent="0.3">
      <c r="A415">
        <v>1069</v>
      </c>
      <c r="B415" s="2">
        <v>45144</v>
      </c>
      <c r="C415" s="1" t="s">
        <v>23</v>
      </c>
      <c r="D415" s="1" t="s">
        <v>30</v>
      </c>
      <c r="E415" s="1" t="s">
        <v>28</v>
      </c>
      <c r="F415" s="1" t="s">
        <v>15</v>
      </c>
      <c r="G415" s="1" t="s">
        <v>21</v>
      </c>
      <c r="H415" s="1" t="s">
        <v>29</v>
      </c>
      <c r="I415" s="4">
        <v>2485.86</v>
      </c>
      <c r="J415" s="4">
        <v>2532.87</v>
      </c>
      <c r="K415">
        <v>4</v>
      </c>
      <c r="L415" s="3">
        <v>0.01</v>
      </c>
      <c r="M415" s="4">
        <v>9943.44</v>
      </c>
      <c r="N415" s="4">
        <v>10131.44</v>
      </c>
      <c r="O415" s="4">
        <v>188</v>
      </c>
      <c r="P415" s="3">
        <v>1.8556098639482599E-2</v>
      </c>
    </row>
    <row r="416" spans="1:16" x14ac:dyDescent="0.3">
      <c r="A416">
        <v>1079</v>
      </c>
      <c r="B416" s="2">
        <v>45144</v>
      </c>
      <c r="C416" s="1" t="s">
        <v>18</v>
      </c>
      <c r="D416" s="1" t="s">
        <v>30</v>
      </c>
      <c r="E416" s="1" t="s">
        <v>14</v>
      </c>
      <c r="F416" s="1" t="s">
        <v>15</v>
      </c>
      <c r="G416" s="1" t="s">
        <v>16</v>
      </c>
      <c r="H416" s="1" t="s">
        <v>17</v>
      </c>
      <c r="I416" s="4">
        <v>1406.9</v>
      </c>
      <c r="J416" s="4">
        <v>1547.35</v>
      </c>
      <c r="K416">
        <v>45</v>
      </c>
      <c r="L416" s="3">
        <v>0.17</v>
      </c>
      <c r="M416" s="4">
        <v>63310.5</v>
      </c>
      <c r="N416" s="4">
        <v>69623.100000000006</v>
      </c>
      <c r="O416" s="4">
        <v>6312.6</v>
      </c>
      <c r="P416" s="3">
        <v>9.06681834046459E-2</v>
      </c>
    </row>
    <row r="417" spans="1:16" x14ac:dyDescent="0.3">
      <c r="A417">
        <v>1001</v>
      </c>
      <c r="B417" s="2">
        <v>45143</v>
      </c>
      <c r="C417" s="1" t="s">
        <v>23</v>
      </c>
      <c r="D417" s="1" t="s">
        <v>30</v>
      </c>
      <c r="E417" s="1" t="s">
        <v>22</v>
      </c>
      <c r="F417" s="1" t="s">
        <v>20</v>
      </c>
      <c r="G417" s="1" t="s">
        <v>25</v>
      </c>
      <c r="H417" s="1" t="s">
        <v>29</v>
      </c>
      <c r="I417" s="4">
        <v>1791.83</v>
      </c>
      <c r="J417" s="4">
        <v>1871.22</v>
      </c>
      <c r="K417">
        <v>4</v>
      </c>
      <c r="L417" s="3">
        <v>0.12</v>
      </c>
      <c r="M417" s="4">
        <v>7167.32</v>
      </c>
      <c r="N417" s="4">
        <v>7484.4</v>
      </c>
      <c r="O417" s="4">
        <v>317.08</v>
      </c>
      <c r="P417" s="3">
        <v>4.2365453476564598E-2</v>
      </c>
    </row>
    <row r="418" spans="1:16" x14ac:dyDescent="0.3">
      <c r="A418">
        <v>1030</v>
      </c>
      <c r="B418" s="2">
        <v>45143</v>
      </c>
      <c r="C418" s="1" t="s">
        <v>23</v>
      </c>
      <c r="D418" s="1" t="s">
        <v>19</v>
      </c>
      <c r="E418" s="1" t="s">
        <v>28</v>
      </c>
      <c r="F418" s="1" t="s">
        <v>20</v>
      </c>
      <c r="G418" s="1" t="s">
        <v>16</v>
      </c>
      <c r="H418" s="1" t="s">
        <v>29</v>
      </c>
      <c r="I418" s="4">
        <v>3125.07</v>
      </c>
      <c r="J418" s="4">
        <v>3564.19</v>
      </c>
      <c r="K418">
        <v>34</v>
      </c>
      <c r="L418" s="3">
        <v>0.09</v>
      </c>
      <c r="M418" s="4">
        <v>106252.38</v>
      </c>
      <c r="N418" s="4">
        <v>121179.4</v>
      </c>
      <c r="O418" s="4">
        <v>14927.02</v>
      </c>
      <c r="P418" s="3">
        <v>0.123181167756236</v>
      </c>
    </row>
    <row r="419" spans="1:16" x14ac:dyDescent="0.3">
      <c r="A419">
        <v>1001</v>
      </c>
      <c r="B419" s="2">
        <v>45142</v>
      </c>
      <c r="C419" s="1" t="s">
        <v>18</v>
      </c>
      <c r="D419" s="1" t="s">
        <v>19</v>
      </c>
      <c r="E419" s="1" t="s">
        <v>22</v>
      </c>
      <c r="F419" s="1" t="s">
        <v>20</v>
      </c>
      <c r="G419" s="1" t="s">
        <v>16</v>
      </c>
      <c r="H419" s="1" t="s">
        <v>17</v>
      </c>
      <c r="I419" s="4">
        <v>3279.76</v>
      </c>
      <c r="J419" s="4">
        <v>3563.97</v>
      </c>
      <c r="K419">
        <v>20</v>
      </c>
      <c r="L419" s="3">
        <v>0.25</v>
      </c>
      <c r="M419" s="4">
        <v>65595.199999999997</v>
      </c>
      <c r="N419" s="4">
        <v>71274.399999999994</v>
      </c>
      <c r="O419" s="4">
        <v>5679.2</v>
      </c>
      <c r="P419" s="3">
        <v>7.9680783002031602E-2</v>
      </c>
    </row>
    <row r="420" spans="1:16" x14ac:dyDescent="0.3">
      <c r="A420">
        <v>1028</v>
      </c>
      <c r="B420" s="2">
        <v>45142</v>
      </c>
      <c r="C420" s="1" t="s">
        <v>26</v>
      </c>
      <c r="D420" s="1" t="s">
        <v>30</v>
      </c>
      <c r="E420" s="1" t="s">
        <v>14</v>
      </c>
      <c r="F420" s="1" t="s">
        <v>15</v>
      </c>
      <c r="G420" s="1" t="s">
        <v>16</v>
      </c>
      <c r="H420" s="1" t="s">
        <v>29</v>
      </c>
      <c r="I420" s="4">
        <v>3350.32</v>
      </c>
      <c r="J420" s="4">
        <v>3449.94</v>
      </c>
      <c r="K420">
        <v>38</v>
      </c>
      <c r="L420" s="3">
        <v>0.26</v>
      </c>
      <c r="M420" s="4">
        <v>127312.16</v>
      </c>
      <c r="N420" s="4">
        <v>131087.84</v>
      </c>
      <c r="O420" s="4">
        <v>3775.68</v>
      </c>
      <c r="P420" s="3">
        <v>2.8802671552143999E-2</v>
      </c>
    </row>
    <row r="421" spans="1:16" x14ac:dyDescent="0.3">
      <c r="A421">
        <v>1035</v>
      </c>
      <c r="B421" s="2">
        <v>45142</v>
      </c>
      <c r="C421" s="1" t="s">
        <v>18</v>
      </c>
      <c r="D421" s="1" t="s">
        <v>27</v>
      </c>
      <c r="E421" s="1" t="s">
        <v>28</v>
      </c>
      <c r="F421" s="1" t="s">
        <v>15</v>
      </c>
      <c r="G421" s="1" t="s">
        <v>21</v>
      </c>
      <c r="H421" s="1" t="s">
        <v>29</v>
      </c>
      <c r="I421" s="4">
        <v>3813.62</v>
      </c>
      <c r="J421" s="4">
        <v>3839.72</v>
      </c>
      <c r="K421">
        <v>30</v>
      </c>
      <c r="L421" s="3">
        <v>0.21</v>
      </c>
      <c r="M421" s="4">
        <v>114408.6</v>
      </c>
      <c r="N421" s="4">
        <v>115185.3</v>
      </c>
      <c r="O421" s="4">
        <v>776.7</v>
      </c>
      <c r="P421" s="3">
        <v>6.7430479410133101E-3</v>
      </c>
    </row>
    <row r="422" spans="1:16" x14ac:dyDescent="0.3">
      <c r="A422">
        <v>1047</v>
      </c>
      <c r="B422" s="2">
        <v>45142</v>
      </c>
      <c r="C422" s="1" t="s">
        <v>12</v>
      </c>
      <c r="D422" s="1" t="s">
        <v>27</v>
      </c>
      <c r="E422" s="1" t="s">
        <v>14</v>
      </c>
      <c r="F422" s="1" t="s">
        <v>20</v>
      </c>
      <c r="G422" s="1" t="s">
        <v>21</v>
      </c>
      <c r="H422" s="1" t="s">
        <v>17</v>
      </c>
      <c r="I422" s="4">
        <v>4729.59</v>
      </c>
      <c r="J422" s="4">
        <v>4976.68</v>
      </c>
      <c r="K422">
        <v>47</v>
      </c>
      <c r="L422" s="3">
        <v>0.18</v>
      </c>
      <c r="M422" s="4">
        <v>222290.73</v>
      </c>
      <c r="N422" s="4">
        <v>233895.5</v>
      </c>
      <c r="O422" s="4">
        <v>11604.77</v>
      </c>
      <c r="P422" s="3">
        <v>4.9615191399577999E-2</v>
      </c>
    </row>
    <row r="423" spans="1:16" x14ac:dyDescent="0.3">
      <c r="A423">
        <v>1001</v>
      </c>
      <c r="B423" s="2">
        <v>45141</v>
      </c>
      <c r="C423" s="1" t="s">
        <v>23</v>
      </c>
      <c r="D423" s="1" t="s">
        <v>19</v>
      </c>
      <c r="E423" s="1" t="s">
        <v>22</v>
      </c>
      <c r="F423" s="1" t="s">
        <v>20</v>
      </c>
      <c r="G423" s="1" t="s">
        <v>16</v>
      </c>
      <c r="H423" s="1" t="s">
        <v>17</v>
      </c>
      <c r="I423" s="4">
        <v>2153.52</v>
      </c>
      <c r="J423" s="4">
        <v>2303.6999999999998</v>
      </c>
      <c r="K423">
        <v>20</v>
      </c>
      <c r="L423" s="3">
        <v>0.01</v>
      </c>
      <c r="M423" s="4">
        <v>43070.400000000001</v>
      </c>
      <c r="N423" s="4">
        <v>46073.8</v>
      </c>
      <c r="O423" s="4">
        <v>3003.4</v>
      </c>
      <c r="P423" s="3">
        <v>6.5186722171820005E-2</v>
      </c>
    </row>
    <row r="424" spans="1:16" x14ac:dyDescent="0.3">
      <c r="A424">
        <v>1002</v>
      </c>
      <c r="B424" s="2">
        <v>45141</v>
      </c>
      <c r="C424" s="1" t="s">
        <v>26</v>
      </c>
      <c r="D424" s="1" t="s">
        <v>27</v>
      </c>
      <c r="E424" s="1" t="s">
        <v>24</v>
      </c>
      <c r="F424" s="1" t="s">
        <v>20</v>
      </c>
      <c r="G424" s="1" t="s">
        <v>21</v>
      </c>
      <c r="H424" s="1" t="s">
        <v>29</v>
      </c>
      <c r="I424" s="4">
        <v>2872.4</v>
      </c>
      <c r="J424" s="4">
        <v>3193.76</v>
      </c>
      <c r="K424">
        <v>16</v>
      </c>
      <c r="L424" s="3">
        <v>0.04</v>
      </c>
      <c r="M424" s="4">
        <v>45958.400000000001</v>
      </c>
      <c r="N424" s="4">
        <v>51099.519999999997</v>
      </c>
      <c r="O424" s="4">
        <v>5141.12</v>
      </c>
      <c r="P424" s="3">
        <v>0.100609947021029</v>
      </c>
    </row>
    <row r="425" spans="1:16" x14ac:dyDescent="0.3">
      <c r="A425">
        <v>1016</v>
      </c>
      <c r="B425" s="2">
        <v>45141</v>
      </c>
      <c r="C425" s="1" t="s">
        <v>26</v>
      </c>
      <c r="D425" s="1" t="s">
        <v>19</v>
      </c>
      <c r="E425" s="1" t="s">
        <v>24</v>
      </c>
      <c r="F425" s="1" t="s">
        <v>20</v>
      </c>
      <c r="G425" s="1" t="s">
        <v>16</v>
      </c>
      <c r="H425" s="1" t="s">
        <v>29</v>
      </c>
      <c r="I425" s="4">
        <v>4457.68</v>
      </c>
      <c r="J425" s="4">
        <v>4743.03</v>
      </c>
      <c r="K425">
        <v>16</v>
      </c>
      <c r="L425" s="3">
        <v>0.19</v>
      </c>
      <c r="M425" s="4">
        <v>71322.880000000005</v>
      </c>
      <c r="N425" s="4">
        <v>75885.440000000002</v>
      </c>
      <c r="O425" s="4">
        <v>4562.5600000000004</v>
      </c>
      <c r="P425" s="3">
        <v>6.01243137023387E-2</v>
      </c>
    </row>
    <row r="426" spans="1:16" x14ac:dyDescent="0.3">
      <c r="A426">
        <v>1023</v>
      </c>
      <c r="B426" s="2">
        <v>45141</v>
      </c>
      <c r="C426" s="1" t="s">
        <v>18</v>
      </c>
      <c r="D426" s="1" t="s">
        <v>19</v>
      </c>
      <c r="E426" s="1" t="s">
        <v>22</v>
      </c>
      <c r="F426" s="1" t="s">
        <v>20</v>
      </c>
      <c r="G426" s="1" t="s">
        <v>25</v>
      </c>
      <c r="H426" s="1" t="s">
        <v>17</v>
      </c>
      <c r="I426" s="4">
        <v>4692.24</v>
      </c>
      <c r="J426" s="4">
        <v>4825.92</v>
      </c>
      <c r="K426">
        <v>45</v>
      </c>
      <c r="L426" s="3">
        <v>0.19</v>
      </c>
      <c r="M426" s="4">
        <v>211150.8</v>
      </c>
      <c r="N426" s="4">
        <v>217157.85</v>
      </c>
      <c r="O426" s="4">
        <v>6007.05</v>
      </c>
      <c r="P426" s="3">
        <v>2.7662136091327099E-2</v>
      </c>
    </row>
    <row r="427" spans="1:16" x14ac:dyDescent="0.3">
      <c r="A427">
        <v>1033</v>
      </c>
      <c r="B427" s="2">
        <v>45141</v>
      </c>
      <c r="C427" s="1" t="s">
        <v>26</v>
      </c>
      <c r="D427" s="1" t="s">
        <v>19</v>
      </c>
      <c r="E427" s="1" t="s">
        <v>22</v>
      </c>
      <c r="F427" s="1" t="s">
        <v>20</v>
      </c>
      <c r="G427" s="1" t="s">
        <v>21</v>
      </c>
      <c r="H427" s="1" t="s">
        <v>29</v>
      </c>
      <c r="I427" s="4">
        <v>541.19000000000005</v>
      </c>
      <c r="J427" s="4">
        <v>595.20000000000005</v>
      </c>
      <c r="K427">
        <v>40</v>
      </c>
      <c r="L427" s="3">
        <v>0.19</v>
      </c>
      <c r="M427" s="4">
        <v>21647.599999999999</v>
      </c>
      <c r="N427" s="4">
        <v>23800.400000000001</v>
      </c>
      <c r="O427" s="4">
        <v>2152.8000000000002</v>
      </c>
      <c r="P427" s="3">
        <v>9.0452261306532694E-2</v>
      </c>
    </row>
    <row r="428" spans="1:16" x14ac:dyDescent="0.3">
      <c r="A428">
        <v>1043</v>
      </c>
      <c r="B428" s="2">
        <v>45141</v>
      </c>
      <c r="C428" s="1" t="s">
        <v>18</v>
      </c>
      <c r="D428" s="1" t="s">
        <v>13</v>
      </c>
      <c r="E428" s="1" t="s">
        <v>28</v>
      </c>
      <c r="F428" s="1" t="s">
        <v>15</v>
      </c>
      <c r="G428" s="1" t="s">
        <v>25</v>
      </c>
      <c r="H428" s="1" t="s">
        <v>29</v>
      </c>
      <c r="I428" s="4">
        <v>4260</v>
      </c>
      <c r="J428" s="4">
        <v>4656.58</v>
      </c>
      <c r="K428">
        <v>22</v>
      </c>
      <c r="L428" s="3">
        <v>0</v>
      </c>
      <c r="M428" s="4">
        <v>93720</v>
      </c>
      <c r="N428" s="4">
        <v>102444.76</v>
      </c>
      <c r="O428" s="4">
        <v>8724.76</v>
      </c>
      <c r="P428" s="3">
        <v>8.51655077331432E-2</v>
      </c>
    </row>
    <row r="429" spans="1:16" x14ac:dyDescent="0.3">
      <c r="A429">
        <v>1029</v>
      </c>
      <c r="B429" s="2">
        <v>45140</v>
      </c>
      <c r="C429" s="1" t="s">
        <v>12</v>
      </c>
      <c r="D429" s="1" t="s">
        <v>27</v>
      </c>
      <c r="E429" s="1" t="s">
        <v>24</v>
      </c>
      <c r="F429" s="1" t="s">
        <v>20</v>
      </c>
      <c r="G429" s="1" t="s">
        <v>16</v>
      </c>
      <c r="H429" s="1" t="s">
        <v>17</v>
      </c>
      <c r="I429" s="4">
        <v>4609.66</v>
      </c>
      <c r="J429" s="4">
        <v>4879.1499999999996</v>
      </c>
      <c r="K429">
        <v>46</v>
      </c>
      <c r="L429" s="3">
        <v>0.3</v>
      </c>
      <c r="M429" s="4">
        <v>212044.36</v>
      </c>
      <c r="N429" s="4">
        <v>224427.1</v>
      </c>
      <c r="O429" s="4">
        <v>12382.74</v>
      </c>
      <c r="P429" s="3">
        <v>5.5174887524724103E-2</v>
      </c>
    </row>
    <row r="430" spans="1:16" x14ac:dyDescent="0.3">
      <c r="A430">
        <v>1038</v>
      </c>
      <c r="B430" s="2">
        <v>45140</v>
      </c>
      <c r="C430" s="1" t="s">
        <v>26</v>
      </c>
      <c r="D430" s="1" t="s">
        <v>13</v>
      </c>
      <c r="E430" s="1" t="s">
        <v>24</v>
      </c>
      <c r="F430" s="1" t="s">
        <v>20</v>
      </c>
      <c r="G430" s="1" t="s">
        <v>16</v>
      </c>
      <c r="H430" s="1" t="s">
        <v>17</v>
      </c>
      <c r="I430" s="4">
        <v>3031.17</v>
      </c>
      <c r="J430" s="4">
        <v>3231.32</v>
      </c>
      <c r="K430">
        <v>43</v>
      </c>
      <c r="L430" s="3">
        <v>0.22</v>
      </c>
      <c r="M430" s="4">
        <v>130340.31</v>
      </c>
      <c r="N430" s="4">
        <v>138937.29999999999</v>
      </c>
      <c r="O430" s="4">
        <v>8596.99</v>
      </c>
      <c r="P430" s="3">
        <v>6.1876760236452E-2</v>
      </c>
    </row>
    <row r="431" spans="1:16" x14ac:dyDescent="0.3">
      <c r="A431">
        <v>1096</v>
      </c>
      <c r="B431" s="2">
        <v>45140</v>
      </c>
      <c r="C431" s="1" t="s">
        <v>23</v>
      </c>
      <c r="D431" s="1" t="s">
        <v>30</v>
      </c>
      <c r="E431" s="1" t="s">
        <v>28</v>
      </c>
      <c r="F431" s="1" t="s">
        <v>20</v>
      </c>
      <c r="G431" s="1" t="s">
        <v>25</v>
      </c>
      <c r="H431" s="1" t="s">
        <v>17</v>
      </c>
      <c r="I431" s="4">
        <v>3969.86</v>
      </c>
      <c r="J431" s="4">
        <v>4281.79</v>
      </c>
      <c r="K431">
        <v>30</v>
      </c>
      <c r="L431" s="3">
        <v>0.08</v>
      </c>
      <c r="M431" s="4">
        <v>119095.8</v>
      </c>
      <c r="N431" s="4">
        <v>128451.3</v>
      </c>
      <c r="O431" s="4">
        <v>9355.5</v>
      </c>
      <c r="P431" s="3">
        <v>7.2833050346707298E-2</v>
      </c>
    </row>
    <row r="432" spans="1:16" x14ac:dyDescent="0.3">
      <c r="A432">
        <v>1039</v>
      </c>
      <c r="B432" s="2">
        <v>45139</v>
      </c>
      <c r="C432" s="1" t="s">
        <v>12</v>
      </c>
      <c r="D432" s="1" t="s">
        <v>19</v>
      </c>
      <c r="E432" s="1" t="s">
        <v>14</v>
      </c>
      <c r="F432" s="1" t="s">
        <v>15</v>
      </c>
      <c r="G432" s="1" t="s">
        <v>16</v>
      </c>
      <c r="H432" s="1" t="s">
        <v>29</v>
      </c>
      <c r="I432" s="4">
        <v>2919</v>
      </c>
      <c r="J432" s="4">
        <v>3125.01</v>
      </c>
      <c r="K432">
        <v>36</v>
      </c>
      <c r="L432" s="3">
        <v>0.24</v>
      </c>
      <c r="M432" s="4">
        <v>105084</v>
      </c>
      <c r="N432" s="4">
        <v>112491.72</v>
      </c>
      <c r="O432" s="4">
        <v>7407.72</v>
      </c>
      <c r="P432" s="3">
        <v>6.5851246651753598E-2</v>
      </c>
    </row>
    <row r="433" spans="1:16" x14ac:dyDescent="0.3">
      <c r="A433">
        <v>1063</v>
      </c>
      <c r="B433" s="2">
        <v>45139</v>
      </c>
      <c r="C433" s="1" t="s">
        <v>23</v>
      </c>
      <c r="D433" s="1" t="s">
        <v>27</v>
      </c>
      <c r="E433" s="1" t="s">
        <v>28</v>
      </c>
      <c r="F433" s="1" t="s">
        <v>20</v>
      </c>
      <c r="G433" s="1" t="s">
        <v>25</v>
      </c>
      <c r="H433" s="1" t="s">
        <v>17</v>
      </c>
      <c r="I433" s="4">
        <v>1046.26</v>
      </c>
      <c r="J433" s="4">
        <v>1475.29</v>
      </c>
      <c r="K433">
        <v>4</v>
      </c>
      <c r="L433" s="3">
        <v>0.09</v>
      </c>
      <c r="M433" s="4">
        <v>4185.04</v>
      </c>
      <c r="N433" s="4">
        <v>5900.8</v>
      </c>
      <c r="O433" s="4">
        <v>1715.76</v>
      </c>
      <c r="P433" s="3">
        <v>0.29076735357917599</v>
      </c>
    </row>
    <row r="434" spans="1:16" x14ac:dyDescent="0.3">
      <c r="A434">
        <v>1002</v>
      </c>
      <c r="B434" s="2">
        <v>45138</v>
      </c>
      <c r="C434" s="1" t="s">
        <v>18</v>
      </c>
      <c r="D434" s="1" t="s">
        <v>13</v>
      </c>
      <c r="E434" s="1" t="s">
        <v>14</v>
      </c>
      <c r="F434" s="1" t="s">
        <v>20</v>
      </c>
      <c r="G434" s="1" t="s">
        <v>21</v>
      </c>
      <c r="H434" s="1" t="s">
        <v>17</v>
      </c>
      <c r="I434" s="4">
        <v>4138.41</v>
      </c>
      <c r="J434" s="4">
        <v>4361.7</v>
      </c>
      <c r="K434">
        <v>21</v>
      </c>
      <c r="L434" s="3">
        <v>7.0000000000000007E-2</v>
      </c>
      <c r="M434" s="4">
        <v>86906.61</v>
      </c>
      <c r="N434" s="4">
        <v>91594.23</v>
      </c>
      <c r="O434" s="4">
        <v>4687.62</v>
      </c>
      <c r="P434" s="3">
        <v>5.1178114603943899E-2</v>
      </c>
    </row>
    <row r="435" spans="1:16" x14ac:dyDescent="0.3">
      <c r="A435">
        <v>1048</v>
      </c>
      <c r="B435" s="2">
        <v>45137</v>
      </c>
      <c r="C435" s="1" t="s">
        <v>26</v>
      </c>
      <c r="D435" s="1" t="s">
        <v>30</v>
      </c>
      <c r="E435" s="1" t="s">
        <v>24</v>
      </c>
      <c r="F435" s="1" t="s">
        <v>15</v>
      </c>
      <c r="G435" s="1" t="s">
        <v>21</v>
      </c>
      <c r="H435" s="1" t="s">
        <v>29</v>
      </c>
      <c r="I435" s="4">
        <v>1945.27</v>
      </c>
      <c r="J435" s="4">
        <v>2309.4299999999998</v>
      </c>
      <c r="K435">
        <v>6</v>
      </c>
      <c r="L435" s="3">
        <v>0.26</v>
      </c>
      <c r="M435" s="4">
        <v>11671.62</v>
      </c>
      <c r="N435" s="4">
        <v>13855.02</v>
      </c>
      <c r="O435" s="4">
        <v>2183.4</v>
      </c>
      <c r="P435" s="3">
        <v>0.15758909045241401</v>
      </c>
    </row>
    <row r="436" spans="1:16" x14ac:dyDescent="0.3">
      <c r="A436">
        <v>1088</v>
      </c>
      <c r="B436" s="2">
        <v>45137</v>
      </c>
      <c r="C436" s="1" t="s">
        <v>12</v>
      </c>
      <c r="D436" s="1" t="s">
        <v>13</v>
      </c>
      <c r="E436" s="1" t="s">
        <v>24</v>
      </c>
      <c r="F436" s="1" t="s">
        <v>15</v>
      </c>
      <c r="G436" s="1" t="s">
        <v>16</v>
      </c>
      <c r="H436" s="1" t="s">
        <v>17</v>
      </c>
      <c r="I436" s="4">
        <v>4384.6400000000003</v>
      </c>
      <c r="J436" s="4">
        <v>4693.8999999999996</v>
      </c>
      <c r="K436">
        <v>1</v>
      </c>
      <c r="L436" s="3">
        <v>0.14000000000000001</v>
      </c>
      <c r="M436" s="4">
        <v>4384.6400000000003</v>
      </c>
      <c r="N436" s="4">
        <v>4693.76</v>
      </c>
      <c r="O436" s="4">
        <v>309.12</v>
      </c>
      <c r="P436" s="3">
        <v>6.5857649304608704E-2</v>
      </c>
    </row>
    <row r="437" spans="1:16" x14ac:dyDescent="0.3">
      <c r="A437">
        <v>1044</v>
      </c>
      <c r="B437" s="2">
        <v>45136</v>
      </c>
      <c r="C437" s="1" t="s">
        <v>26</v>
      </c>
      <c r="D437" s="1" t="s">
        <v>30</v>
      </c>
      <c r="E437" s="1" t="s">
        <v>28</v>
      </c>
      <c r="F437" s="1" t="s">
        <v>15</v>
      </c>
      <c r="G437" s="1" t="s">
        <v>25</v>
      </c>
      <c r="H437" s="1" t="s">
        <v>29</v>
      </c>
      <c r="I437" s="4">
        <v>1512.34</v>
      </c>
      <c r="J437" s="4">
        <v>1830.76</v>
      </c>
      <c r="K437">
        <v>47</v>
      </c>
      <c r="L437" s="3">
        <v>0.12</v>
      </c>
      <c r="M437" s="4">
        <v>71079.98</v>
      </c>
      <c r="N437" s="4">
        <v>86040.08</v>
      </c>
      <c r="O437" s="4">
        <v>14960.1</v>
      </c>
      <c r="P437" s="3">
        <v>0.17387361796967199</v>
      </c>
    </row>
    <row r="438" spans="1:16" x14ac:dyDescent="0.3">
      <c r="A438">
        <v>1059</v>
      </c>
      <c r="B438" s="2">
        <v>45136</v>
      </c>
      <c r="C438" s="1" t="s">
        <v>23</v>
      </c>
      <c r="D438" s="1" t="s">
        <v>27</v>
      </c>
      <c r="E438" s="1" t="s">
        <v>24</v>
      </c>
      <c r="F438" s="1" t="s">
        <v>20</v>
      </c>
      <c r="G438" s="1" t="s">
        <v>21</v>
      </c>
      <c r="H438" s="1" t="s">
        <v>17</v>
      </c>
      <c r="I438" s="4">
        <v>4287.21</v>
      </c>
      <c r="J438" s="4">
        <v>4464.28</v>
      </c>
      <c r="K438">
        <v>16</v>
      </c>
      <c r="L438" s="3">
        <v>0.2</v>
      </c>
      <c r="M438" s="4">
        <v>68595.360000000001</v>
      </c>
      <c r="N438" s="4">
        <v>71425.279999999999</v>
      </c>
      <c r="O438" s="4">
        <v>2829.92</v>
      </c>
      <c r="P438" s="3">
        <v>3.9620705722119703E-2</v>
      </c>
    </row>
    <row r="439" spans="1:16" x14ac:dyDescent="0.3">
      <c r="A439">
        <v>1082</v>
      </c>
      <c r="B439" s="2">
        <v>45136</v>
      </c>
      <c r="C439" s="1" t="s">
        <v>12</v>
      </c>
      <c r="D439" s="1" t="s">
        <v>13</v>
      </c>
      <c r="E439" s="1" t="s">
        <v>22</v>
      </c>
      <c r="F439" s="1" t="s">
        <v>15</v>
      </c>
      <c r="G439" s="1" t="s">
        <v>21</v>
      </c>
      <c r="H439" s="1" t="s">
        <v>29</v>
      </c>
      <c r="I439" s="4">
        <v>1102.69</v>
      </c>
      <c r="J439" s="4">
        <v>1437.12</v>
      </c>
      <c r="K439">
        <v>46</v>
      </c>
      <c r="L439" s="3">
        <v>0.11</v>
      </c>
      <c r="M439" s="4">
        <v>50723.74</v>
      </c>
      <c r="N439" s="4">
        <v>66102.460000000006</v>
      </c>
      <c r="O439" s="4">
        <v>15378.72</v>
      </c>
      <c r="P439" s="3">
        <v>0.23264973799764799</v>
      </c>
    </row>
    <row r="440" spans="1:16" x14ac:dyDescent="0.3">
      <c r="A440">
        <v>1096</v>
      </c>
      <c r="B440" s="2">
        <v>45136</v>
      </c>
      <c r="C440" s="1" t="s">
        <v>31</v>
      </c>
      <c r="D440" s="1" t="s">
        <v>19</v>
      </c>
      <c r="E440" s="1" t="s">
        <v>28</v>
      </c>
      <c r="F440" s="1" t="s">
        <v>20</v>
      </c>
      <c r="G440" s="1" t="s">
        <v>21</v>
      </c>
      <c r="H440" s="1" t="s">
        <v>29</v>
      </c>
      <c r="I440" s="4">
        <v>3955.66</v>
      </c>
      <c r="J440" s="4">
        <v>4270.59</v>
      </c>
      <c r="K440">
        <v>38</v>
      </c>
      <c r="L440" s="3">
        <v>0.15</v>
      </c>
      <c r="M440" s="4">
        <v>150315.07999999999</v>
      </c>
      <c r="N440" s="4">
        <v>162276.72</v>
      </c>
      <c r="O440" s="4">
        <v>11961.64</v>
      </c>
      <c r="P440" s="3">
        <v>7.3711374003615604E-2</v>
      </c>
    </row>
    <row r="441" spans="1:16" x14ac:dyDescent="0.3">
      <c r="A441">
        <v>1025</v>
      </c>
      <c r="B441" s="2">
        <v>45135</v>
      </c>
      <c r="C441" s="1" t="s">
        <v>18</v>
      </c>
      <c r="D441" s="1" t="s">
        <v>19</v>
      </c>
      <c r="E441" s="1" t="s">
        <v>28</v>
      </c>
      <c r="F441" s="1" t="s">
        <v>15</v>
      </c>
      <c r="G441" s="1" t="s">
        <v>21</v>
      </c>
      <c r="H441" s="1" t="s">
        <v>29</v>
      </c>
      <c r="I441" s="4">
        <v>1115.02</v>
      </c>
      <c r="J441" s="4">
        <v>1174.48</v>
      </c>
      <c r="K441">
        <v>37</v>
      </c>
      <c r="L441" s="3">
        <v>0.22</v>
      </c>
      <c r="M441" s="4">
        <v>41255.74</v>
      </c>
      <c r="N441" s="4">
        <v>43447.62</v>
      </c>
      <c r="O441" s="4">
        <v>2191.88</v>
      </c>
      <c r="P441" s="3">
        <v>5.0448793282578001E-2</v>
      </c>
    </row>
    <row r="442" spans="1:16" x14ac:dyDescent="0.3">
      <c r="A442">
        <v>1054</v>
      </c>
      <c r="B442" s="2">
        <v>45135</v>
      </c>
      <c r="C442" s="1" t="s">
        <v>18</v>
      </c>
      <c r="D442" s="1" t="s">
        <v>13</v>
      </c>
      <c r="E442" s="1" t="s">
        <v>14</v>
      </c>
      <c r="F442" s="1" t="s">
        <v>15</v>
      </c>
      <c r="G442" s="1" t="s">
        <v>16</v>
      </c>
      <c r="H442" s="1" t="s">
        <v>17</v>
      </c>
      <c r="I442" s="4">
        <v>4622.1400000000003</v>
      </c>
      <c r="J442" s="4">
        <v>5122.07</v>
      </c>
      <c r="K442">
        <v>20</v>
      </c>
      <c r="L442" s="3">
        <v>0.26</v>
      </c>
      <c r="M442" s="4">
        <v>92442.8</v>
      </c>
      <c r="N442" s="4">
        <v>102436.2</v>
      </c>
      <c r="O442" s="4">
        <v>9993.4</v>
      </c>
      <c r="P442" s="3">
        <v>9.7557308841991403E-2</v>
      </c>
    </row>
    <row r="443" spans="1:16" x14ac:dyDescent="0.3">
      <c r="A443">
        <v>1082</v>
      </c>
      <c r="B443" s="2">
        <v>45135</v>
      </c>
      <c r="C443" s="1" t="s">
        <v>26</v>
      </c>
      <c r="D443" s="1" t="s">
        <v>13</v>
      </c>
      <c r="E443" s="1" t="s">
        <v>22</v>
      </c>
      <c r="F443" s="1" t="s">
        <v>20</v>
      </c>
      <c r="G443" s="1" t="s">
        <v>25</v>
      </c>
      <c r="H443" s="1" t="s">
        <v>29</v>
      </c>
      <c r="I443" s="4">
        <v>3380.52</v>
      </c>
      <c r="J443" s="4">
        <v>3778.94</v>
      </c>
      <c r="K443">
        <v>48</v>
      </c>
      <c r="L443" s="3">
        <v>0.3</v>
      </c>
      <c r="M443" s="4">
        <v>162264.95999999999</v>
      </c>
      <c r="N443" s="4">
        <v>181374.72</v>
      </c>
      <c r="O443" s="4">
        <v>19109.759999999998</v>
      </c>
      <c r="P443" s="3">
        <v>0.105360658861389</v>
      </c>
    </row>
    <row r="444" spans="1:16" x14ac:dyDescent="0.3">
      <c r="A444">
        <v>1062</v>
      </c>
      <c r="B444" s="2">
        <v>45134</v>
      </c>
      <c r="C444" s="1" t="s">
        <v>18</v>
      </c>
      <c r="D444" s="1" t="s">
        <v>27</v>
      </c>
      <c r="E444" s="1" t="s">
        <v>28</v>
      </c>
      <c r="F444" s="1" t="s">
        <v>15</v>
      </c>
      <c r="G444" s="1" t="s">
        <v>25</v>
      </c>
      <c r="H444" s="1" t="s">
        <v>29</v>
      </c>
      <c r="I444" s="4">
        <v>987.74</v>
      </c>
      <c r="J444" s="4">
        <v>1462.19</v>
      </c>
      <c r="K444">
        <v>44</v>
      </c>
      <c r="L444" s="3">
        <v>0.24</v>
      </c>
      <c r="M444" s="4">
        <v>43460.56</v>
      </c>
      <c r="N444" s="4">
        <v>64325.8</v>
      </c>
      <c r="O444" s="4">
        <v>20865.240000000002</v>
      </c>
      <c r="P444" s="3">
        <v>0.32436813844522699</v>
      </c>
    </row>
    <row r="445" spans="1:16" x14ac:dyDescent="0.3">
      <c r="A445">
        <v>1078</v>
      </c>
      <c r="B445" s="2">
        <v>45134</v>
      </c>
      <c r="C445" s="1" t="s">
        <v>12</v>
      </c>
      <c r="D445" s="1" t="s">
        <v>30</v>
      </c>
      <c r="E445" s="1" t="s">
        <v>14</v>
      </c>
      <c r="F445" s="1" t="s">
        <v>15</v>
      </c>
      <c r="G445" s="1" t="s">
        <v>25</v>
      </c>
      <c r="H445" s="1" t="s">
        <v>17</v>
      </c>
      <c r="I445" s="4">
        <v>902.38</v>
      </c>
      <c r="J445" s="4">
        <v>1128.9100000000001</v>
      </c>
      <c r="K445">
        <v>3</v>
      </c>
      <c r="L445" s="3">
        <v>0.01</v>
      </c>
      <c r="M445" s="4">
        <v>2707.14</v>
      </c>
      <c r="N445" s="4">
        <v>3386.7</v>
      </c>
      <c r="O445" s="4">
        <v>679.56</v>
      </c>
      <c r="P445" s="3">
        <v>0.20065550535919899</v>
      </c>
    </row>
    <row r="446" spans="1:16" x14ac:dyDescent="0.3">
      <c r="A446">
        <v>1015</v>
      </c>
      <c r="B446" s="2">
        <v>45133</v>
      </c>
      <c r="C446" s="1" t="s">
        <v>18</v>
      </c>
      <c r="D446" s="1" t="s">
        <v>30</v>
      </c>
      <c r="E446" s="1" t="s">
        <v>28</v>
      </c>
      <c r="F446" s="1" t="s">
        <v>20</v>
      </c>
      <c r="G446" s="1" t="s">
        <v>25</v>
      </c>
      <c r="H446" s="1" t="s">
        <v>29</v>
      </c>
      <c r="I446" s="4">
        <v>4680.3500000000004</v>
      </c>
      <c r="J446" s="4">
        <v>4758.1099999999997</v>
      </c>
      <c r="K446">
        <v>9</v>
      </c>
      <c r="L446" s="3">
        <v>0.05</v>
      </c>
      <c r="M446" s="4">
        <v>42123.15</v>
      </c>
      <c r="N446" s="4">
        <v>42822.54</v>
      </c>
      <c r="O446" s="4">
        <v>699.39</v>
      </c>
      <c r="P446" s="3">
        <v>1.63322866882721E-2</v>
      </c>
    </row>
    <row r="447" spans="1:16" x14ac:dyDescent="0.3">
      <c r="A447">
        <v>1003</v>
      </c>
      <c r="B447" s="2">
        <v>45132</v>
      </c>
      <c r="C447" s="1" t="s">
        <v>12</v>
      </c>
      <c r="D447" s="1" t="s">
        <v>19</v>
      </c>
      <c r="E447" s="1" t="s">
        <v>22</v>
      </c>
      <c r="F447" s="1" t="s">
        <v>15</v>
      </c>
      <c r="G447" s="1" t="s">
        <v>16</v>
      </c>
      <c r="H447" s="1" t="s">
        <v>29</v>
      </c>
      <c r="I447" s="4">
        <v>2206.58</v>
      </c>
      <c r="J447" s="4">
        <v>2490.4699999999998</v>
      </c>
      <c r="K447">
        <v>5</v>
      </c>
      <c r="L447" s="3">
        <v>0.28000000000000003</v>
      </c>
      <c r="M447" s="4">
        <v>11032.9</v>
      </c>
      <c r="N447" s="4">
        <v>12450.95</v>
      </c>
      <c r="O447" s="4">
        <v>1418.05</v>
      </c>
      <c r="P447" s="3">
        <v>0.11389090792268899</v>
      </c>
    </row>
    <row r="448" spans="1:16" x14ac:dyDescent="0.3">
      <c r="A448">
        <v>1047</v>
      </c>
      <c r="B448" s="2">
        <v>45132</v>
      </c>
      <c r="C448" s="1" t="s">
        <v>31</v>
      </c>
      <c r="D448" s="1" t="s">
        <v>13</v>
      </c>
      <c r="E448" s="1" t="s">
        <v>24</v>
      </c>
      <c r="F448" s="1" t="s">
        <v>20</v>
      </c>
      <c r="G448" s="1" t="s">
        <v>21</v>
      </c>
      <c r="H448" s="1" t="s">
        <v>17</v>
      </c>
      <c r="I448" s="4">
        <v>3484.62</v>
      </c>
      <c r="J448" s="4">
        <v>3781.55</v>
      </c>
      <c r="K448">
        <v>19</v>
      </c>
      <c r="L448" s="3">
        <v>0.21</v>
      </c>
      <c r="M448" s="4">
        <v>66207.78</v>
      </c>
      <c r="N448" s="4">
        <v>71845.460000000006</v>
      </c>
      <c r="O448" s="4">
        <v>5637.68</v>
      </c>
      <c r="P448" s="3">
        <v>7.8469537253989294E-2</v>
      </c>
    </row>
    <row r="449" spans="1:16" x14ac:dyDescent="0.3">
      <c r="A449">
        <v>1098</v>
      </c>
      <c r="B449" s="2">
        <v>45131</v>
      </c>
      <c r="C449" s="1" t="s">
        <v>26</v>
      </c>
      <c r="D449" s="1" t="s">
        <v>27</v>
      </c>
      <c r="E449" s="1" t="s">
        <v>28</v>
      </c>
      <c r="F449" s="1" t="s">
        <v>20</v>
      </c>
      <c r="G449" s="1" t="s">
        <v>21</v>
      </c>
      <c r="H449" s="1" t="s">
        <v>29</v>
      </c>
      <c r="I449" s="4">
        <v>4055.51</v>
      </c>
      <c r="J449" s="4">
        <v>4258.84</v>
      </c>
      <c r="K449">
        <v>19</v>
      </c>
      <c r="L449" s="3">
        <v>0.03</v>
      </c>
      <c r="M449" s="4">
        <v>77054.69</v>
      </c>
      <c r="N449" s="4">
        <v>80917.39</v>
      </c>
      <c r="O449" s="4">
        <v>3862.7</v>
      </c>
      <c r="P449" s="3">
        <v>4.7736339493896197E-2</v>
      </c>
    </row>
    <row r="450" spans="1:16" x14ac:dyDescent="0.3">
      <c r="A450">
        <v>1042</v>
      </c>
      <c r="B450" s="2">
        <v>45130</v>
      </c>
      <c r="C450" s="1" t="s">
        <v>31</v>
      </c>
      <c r="D450" s="1" t="s">
        <v>19</v>
      </c>
      <c r="E450" s="1" t="s">
        <v>28</v>
      </c>
      <c r="F450" s="1" t="s">
        <v>20</v>
      </c>
      <c r="G450" s="1" t="s">
        <v>16</v>
      </c>
      <c r="H450" s="1" t="s">
        <v>17</v>
      </c>
      <c r="I450" s="4">
        <v>4208.09</v>
      </c>
      <c r="J450" s="4">
        <v>4226.5600000000004</v>
      </c>
      <c r="K450">
        <v>26</v>
      </c>
      <c r="L450" s="3">
        <v>0.28999999999999998</v>
      </c>
      <c r="M450" s="4">
        <v>109410.34</v>
      </c>
      <c r="N450" s="4">
        <v>109883.02</v>
      </c>
      <c r="O450" s="4">
        <v>472.68</v>
      </c>
      <c r="P450" s="3">
        <v>4.3016655348569804E-3</v>
      </c>
    </row>
    <row r="451" spans="1:16" x14ac:dyDescent="0.3">
      <c r="A451">
        <v>1056</v>
      </c>
      <c r="B451" s="2">
        <v>45130</v>
      </c>
      <c r="C451" s="1" t="s">
        <v>23</v>
      </c>
      <c r="D451" s="1" t="s">
        <v>19</v>
      </c>
      <c r="E451" s="1" t="s">
        <v>24</v>
      </c>
      <c r="F451" s="1" t="s">
        <v>15</v>
      </c>
      <c r="G451" s="1" t="s">
        <v>21</v>
      </c>
      <c r="H451" s="1" t="s">
        <v>17</v>
      </c>
      <c r="I451" s="4">
        <v>2344.9299999999998</v>
      </c>
      <c r="J451" s="4">
        <v>2707.25</v>
      </c>
      <c r="K451">
        <v>35</v>
      </c>
      <c r="L451" s="3">
        <v>0.12</v>
      </c>
      <c r="M451" s="4">
        <v>82072.55</v>
      </c>
      <c r="N451" s="4">
        <v>94749.55</v>
      </c>
      <c r="O451" s="4">
        <v>12677</v>
      </c>
      <c r="P451" s="3">
        <v>0.13379483068785</v>
      </c>
    </row>
    <row r="452" spans="1:16" x14ac:dyDescent="0.3">
      <c r="A452">
        <v>1039</v>
      </c>
      <c r="B452" s="2">
        <v>45129</v>
      </c>
      <c r="C452" s="1" t="s">
        <v>26</v>
      </c>
      <c r="D452" s="1" t="s">
        <v>13</v>
      </c>
      <c r="E452" s="1" t="s">
        <v>14</v>
      </c>
      <c r="F452" s="1" t="s">
        <v>20</v>
      </c>
      <c r="G452" s="1" t="s">
        <v>21</v>
      </c>
      <c r="H452" s="1" t="s">
        <v>17</v>
      </c>
      <c r="I452" s="4">
        <v>3120.19</v>
      </c>
      <c r="J452" s="4">
        <v>3600.14</v>
      </c>
      <c r="K452">
        <v>42</v>
      </c>
      <c r="L452" s="3">
        <v>0.19</v>
      </c>
      <c r="M452" s="4">
        <v>131047.98</v>
      </c>
      <c r="N452" s="4">
        <v>151197.9</v>
      </c>
      <c r="O452" s="4">
        <v>20149.919999999998</v>
      </c>
      <c r="P452" s="3">
        <v>0.1332685176183</v>
      </c>
    </row>
    <row r="453" spans="1:16" x14ac:dyDescent="0.3">
      <c r="A453">
        <v>1017</v>
      </c>
      <c r="B453" s="2">
        <v>45128</v>
      </c>
      <c r="C453" s="1" t="s">
        <v>18</v>
      </c>
      <c r="D453" s="1" t="s">
        <v>13</v>
      </c>
      <c r="E453" s="1" t="s">
        <v>22</v>
      </c>
      <c r="F453" s="1" t="s">
        <v>20</v>
      </c>
      <c r="G453" s="1" t="s">
        <v>25</v>
      </c>
      <c r="H453" s="1" t="s">
        <v>29</v>
      </c>
      <c r="I453" s="4">
        <v>172.59</v>
      </c>
      <c r="J453" s="4">
        <v>404.69</v>
      </c>
      <c r="K453">
        <v>1</v>
      </c>
      <c r="L453" s="3">
        <v>0.28999999999999998</v>
      </c>
      <c r="M453" s="4">
        <v>172.59</v>
      </c>
      <c r="N453" s="4">
        <v>404.4</v>
      </c>
      <c r="O453" s="4">
        <v>231.81</v>
      </c>
      <c r="P453" s="3">
        <v>0.57321958456973299</v>
      </c>
    </row>
    <row r="454" spans="1:16" x14ac:dyDescent="0.3">
      <c r="A454">
        <v>1023</v>
      </c>
      <c r="B454" s="2">
        <v>45128</v>
      </c>
      <c r="C454" s="1" t="s">
        <v>12</v>
      </c>
      <c r="D454" s="1" t="s">
        <v>30</v>
      </c>
      <c r="E454" s="1" t="s">
        <v>14</v>
      </c>
      <c r="F454" s="1" t="s">
        <v>20</v>
      </c>
      <c r="G454" s="1" t="s">
        <v>25</v>
      </c>
      <c r="H454" s="1" t="s">
        <v>17</v>
      </c>
      <c r="I454" s="4">
        <v>1532.8</v>
      </c>
      <c r="J454" s="4">
        <v>1619.69</v>
      </c>
      <c r="K454">
        <v>4</v>
      </c>
      <c r="L454" s="3">
        <v>0.05</v>
      </c>
      <c r="M454" s="4">
        <v>6131.2</v>
      </c>
      <c r="N454" s="4">
        <v>6478.56</v>
      </c>
      <c r="O454" s="4">
        <v>347.36</v>
      </c>
      <c r="P454" s="3">
        <v>5.36168531278556E-2</v>
      </c>
    </row>
    <row r="455" spans="1:16" x14ac:dyDescent="0.3">
      <c r="A455">
        <v>1063</v>
      </c>
      <c r="B455" s="2">
        <v>45128</v>
      </c>
      <c r="C455" s="1" t="s">
        <v>23</v>
      </c>
      <c r="D455" s="1" t="s">
        <v>13</v>
      </c>
      <c r="E455" s="1" t="s">
        <v>28</v>
      </c>
      <c r="F455" s="1" t="s">
        <v>15</v>
      </c>
      <c r="G455" s="1" t="s">
        <v>25</v>
      </c>
      <c r="H455" s="1" t="s">
        <v>17</v>
      </c>
      <c r="I455" s="4">
        <v>975.31</v>
      </c>
      <c r="J455" s="4">
        <v>1176.17</v>
      </c>
      <c r="K455">
        <v>32</v>
      </c>
      <c r="L455" s="3">
        <v>0.22</v>
      </c>
      <c r="M455" s="4">
        <v>31209.919999999998</v>
      </c>
      <c r="N455" s="4">
        <v>37630.400000000001</v>
      </c>
      <c r="O455" s="4">
        <v>6420.48</v>
      </c>
      <c r="P455" s="3">
        <v>0.17061949912836399</v>
      </c>
    </row>
    <row r="456" spans="1:16" x14ac:dyDescent="0.3">
      <c r="A456">
        <v>1066</v>
      </c>
      <c r="B456" s="2">
        <v>45128</v>
      </c>
      <c r="C456" s="1" t="s">
        <v>31</v>
      </c>
      <c r="D456" s="1" t="s">
        <v>13</v>
      </c>
      <c r="E456" s="1" t="s">
        <v>24</v>
      </c>
      <c r="F456" s="1" t="s">
        <v>20</v>
      </c>
      <c r="G456" s="1" t="s">
        <v>21</v>
      </c>
      <c r="H456" s="1" t="s">
        <v>17</v>
      </c>
      <c r="I456" s="4">
        <v>868.83</v>
      </c>
      <c r="J456" s="4">
        <v>1177.75</v>
      </c>
      <c r="K456">
        <v>4</v>
      </c>
      <c r="L456" s="3">
        <v>0.21</v>
      </c>
      <c r="M456" s="4">
        <v>3475.32</v>
      </c>
      <c r="N456" s="4">
        <v>4710.16</v>
      </c>
      <c r="O456" s="4">
        <v>1234.8399999999999</v>
      </c>
      <c r="P456" s="3">
        <v>0.26216519184061698</v>
      </c>
    </row>
    <row r="457" spans="1:16" x14ac:dyDescent="0.3">
      <c r="A457">
        <v>1055</v>
      </c>
      <c r="B457" s="2">
        <v>45127</v>
      </c>
      <c r="C457" s="1" t="s">
        <v>12</v>
      </c>
      <c r="D457" s="1" t="s">
        <v>19</v>
      </c>
      <c r="E457" s="1" t="s">
        <v>24</v>
      </c>
      <c r="F457" s="1" t="s">
        <v>20</v>
      </c>
      <c r="G457" s="1" t="s">
        <v>25</v>
      </c>
      <c r="H457" s="1" t="s">
        <v>29</v>
      </c>
      <c r="I457" s="4">
        <v>4111.7</v>
      </c>
      <c r="J457" s="4">
        <v>4537.9399999999996</v>
      </c>
      <c r="K457">
        <v>43</v>
      </c>
      <c r="L457" s="3">
        <v>0.13</v>
      </c>
      <c r="M457" s="4">
        <v>176803.1</v>
      </c>
      <c r="N457" s="4">
        <v>195125.83</v>
      </c>
      <c r="O457" s="4">
        <v>18322.73</v>
      </c>
      <c r="P457" s="3">
        <v>9.3902124593140804E-2</v>
      </c>
    </row>
    <row r="458" spans="1:16" x14ac:dyDescent="0.3">
      <c r="A458">
        <v>1062</v>
      </c>
      <c r="B458" s="2">
        <v>45127</v>
      </c>
      <c r="C458" s="1" t="s">
        <v>12</v>
      </c>
      <c r="D458" s="1" t="s">
        <v>30</v>
      </c>
      <c r="E458" s="1" t="s">
        <v>28</v>
      </c>
      <c r="F458" s="1" t="s">
        <v>15</v>
      </c>
      <c r="G458" s="1" t="s">
        <v>21</v>
      </c>
      <c r="H458" s="1" t="s">
        <v>29</v>
      </c>
      <c r="I458" s="4">
        <v>1679.69</v>
      </c>
      <c r="J458" s="4">
        <v>1939.04</v>
      </c>
      <c r="K458">
        <v>48</v>
      </c>
      <c r="L458" s="3">
        <v>0.09</v>
      </c>
      <c r="M458" s="4">
        <v>80625.119999999995</v>
      </c>
      <c r="N458" s="4">
        <v>93069.6</v>
      </c>
      <c r="O458" s="4">
        <v>12444.48</v>
      </c>
      <c r="P458" s="3">
        <v>0.13371154490832701</v>
      </c>
    </row>
    <row r="459" spans="1:16" x14ac:dyDescent="0.3">
      <c r="A459">
        <v>1086</v>
      </c>
      <c r="B459" s="2">
        <v>45127</v>
      </c>
      <c r="C459" s="1" t="s">
        <v>23</v>
      </c>
      <c r="D459" s="1" t="s">
        <v>30</v>
      </c>
      <c r="E459" s="1" t="s">
        <v>22</v>
      </c>
      <c r="F459" s="1" t="s">
        <v>15</v>
      </c>
      <c r="G459" s="1" t="s">
        <v>21</v>
      </c>
      <c r="H459" s="1" t="s">
        <v>17</v>
      </c>
      <c r="I459" s="4">
        <v>1057.27</v>
      </c>
      <c r="J459" s="4">
        <v>1366.62</v>
      </c>
      <c r="K459">
        <v>17</v>
      </c>
      <c r="L459" s="3">
        <v>0.21</v>
      </c>
      <c r="M459" s="4">
        <v>17973.59</v>
      </c>
      <c r="N459" s="4">
        <v>23228.97</v>
      </c>
      <c r="O459" s="4">
        <v>5255.38</v>
      </c>
      <c r="P459" s="3">
        <v>0.22624248944313899</v>
      </c>
    </row>
    <row r="460" spans="1:16" x14ac:dyDescent="0.3">
      <c r="A460">
        <v>1062</v>
      </c>
      <c r="B460" s="2">
        <v>45126</v>
      </c>
      <c r="C460" s="1" t="s">
        <v>31</v>
      </c>
      <c r="D460" s="1" t="s">
        <v>30</v>
      </c>
      <c r="E460" s="1" t="s">
        <v>28</v>
      </c>
      <c r="F460" s="1" t="s">
        <v>20</v>
      </c>
      <c r="G460" s="1" t="s">
        <v>21</v>
      </c>
      <c r="H460" s="1" t="s">
        <v>29</v>
      </c>
      <c r="I460" s="4">
        <v>2940.4</v>
      </c>
      <c r="J460" s="4">
        <v>3054.79</v>
      </c>
      <c r="K460">
        <v>10</v>
      </c>
      <c r="L460" s="3">
        <v>0.08</v>
      </c>
      <c r="M460" s="4">
        <v>29404</v>
      </c>
      <c r="N460" s="4">
        <v>30547.1</v>
      </c>
      <c r="O460" s="4">
        <v>1143.0999999999999</v>
      </c>
      <c r="P460" s="3">
        <v>3.7420900838377499E-2</v>
      </c>
    </row>
    <row r="461" spans="1:16" x14ac:dyDescent="0.3">
      <c r="A461">
        <v>1090</v>
      </c>
      <c r="B461" s="2">
        <v>45126</v>
      </c>
      <c r="C461" s="1" t="s">
        <v>31</v>
      </c>
      <c r="D461" s="1" t="s">
        <v>19</v>
      </c>
      <c r="E461" s="1" t="s">
        <v>24</v>
      </c>
      <c r="F461" s="1" t="s">
        <v>20</v>
      </c>
      <c r="G461" s="1" t="s">
        <v>25</v>
      </c>
      <c r="H461" s="1" t="s">
        <v>17</v>
      </c>
      <c r="I461" s="4">
        <v>2387.63</v>
      </c>
      <c r="J461" s="4">
        <v>2438.9699999999998</v>
      </c>
      <c r="K461">
        <v>10</v>
      </c>
      <c r="L461" s="3">
        <v>0.02</v>
      </c>
      <c r="M461" s="4">
        <v>23876.3</v>
      </c>
      <c r="N461" s="4">
        <v>24389.5</v>
      </c>
      <c r="O461" s="4">
        <v>513.20000000000005</v>
      </c>
      <c r="P461" s="3">
        <v>2.10418417761742E-2</v>
      </c>
    </row>
    <row r="462" spans="1:16" x14ac:dyDescent="0.3">
      <c r="A462">
        <v>1019</v>
      </c>
      <c r="B462" s="2">
        <v>45125</v>
      </c>
      <c r="C462" s="1" t="s">
        <v>26</v>
      </c>
      <c r="D462" s="1" t="s">
        <v>30</v>
      </c>
      <c r="E462" s="1" t="s">
        <v>14</v>
      </c>
      <c r="F462" s="1" t="s">
        <v>20</v>
      </c>
      <c r="G462" s="1" t="s">
        <v>21</v>
      </c>
      <c r="H462" s="1" t="s">
        <v>29</v>
      </c>
      <c r="I462" s="4">
        <v>4745.18</v>
      </c>
      <c r="J462" s="4">
        <v>5145.88</v>
      </c>
      <c r="K462">
        <v>12</v>
      </c>
      <c r="L462" s="3">
        <v>0.19</v>
      </c>
      <c r="M462" s="4">
        <v>56942.16</v>
      </c>
      <c r="N462" s="4">
        <v>61748.28</v>
      </c>
      <c r="O462" s="4">
        <v>4806.12</v>
      </c>
      <c r="P462" s="3">
        <v>7.7834070843754696E-2</v>
      </c>
    </row>
    <row r="463" spans="1:16" x14ac:dyDescent="0.3">
      <c r="A463">
        <v>1050</v>
      </c>
      <c r="B463" s="2">
        <v>45125</v>
      </c>
      <c r="C463" s="1" t="s">
        <v>12</v>
      </c>
      <c r="D463" s="1" t="s">
        <v>27</v>
      </c>
      <c r="E463" s="1" t="s">
        <v>24</v>
      </c>
      <c r="F463" s="1" t="s">
        <v>20</v>
      </c>
      <c r="G463" s="1" t="s">
        <v>25</v>
      </c>
      <c r="H463" s="1" t="s">
        <v>29</v>
      </c>
      <c r="I463" s="4">
        <v>4834.47</v>
      </c>
      <c r="J463" s="4">
        <v>4973.38</v>
      </c>
      <c r="K463">
        <v>43</v>
      </c>
      <c r="L463" s="3">
        <v>0.03</v>
      </c>
      <c r="M463" s="4">
        <v>207882.21</v>
      </c>
      <c r="N463" s="4">
        <v>213854.05</v>
      </c>
      <c r="O463" s="4">
        <v>5971.84</v>
      </c>
      <c r="P463" s="3">
        <v>2.7924839393969898E-2</v>
      </c>
    </row>
    <row r="464" spans="1:16" x14ac:dyDescent="0.3">
      <c r="A464">
        <v>1052</v>
      </c>
      <c r="B464" s="2">
        <v>45125</v>
      </c>
      <c r="C464" s="1" t="s">
        <v>12</v>
      </c>
      <c r="D464" s="1" t="s">
        <v>27</v>
      </c>
      <c r="E464" s="1" t="s">
        <v>28</v>
      </c>
      <c r="F464" s="1" t="s">
        <v>15</v>
      </c>
      <c r="G464" s="1" t="s">
        <v>16</v>
      </c>
      <c r="H464" s="1" t="s">
        <v>17</v>
      </c>
      <c r="I464" s="4">
        <v>417.96</v>
      </c>
      <c r="J464" s="4">
        <v>907.63</v>
      </c>
      <c r="K464">
        <v>42</v>
      </c>
      <c r="L464" s="3">
        <v>0.04</v>
      </c>
      <c r="M464" s="4">
        <v>17554.32</v>
      </c>
      <c r="N464" s="4">
        <v>38118.78</v>
      </c>
      <c r="O464" s="4">
        <v>20564.46</v>
      </c>
      <c r="P464" s="3">
        <v>0.539483687568175</v>
      </c>
    </row>
    <row r="465" spans="1:16" x14ac:dyDescent="0.3">
      <c r="A465">
        <v>1003</v>
      </c>
      <c r="B465" s="2">
        <v>45124</v>
      </c>
      <c r="C465" s="1" t="s">
        <v>12</v>
      </c>
      <c r="D465" s="1" t="s">
        <v>19</v>
      </c>
      <c r="E465" s="1" t="s">
        <v>28</v>
      </c>
      <c r="F465" s="1" t="s">
        <v>20</v>
      </c>
      <c r="G465" s="1" t="s">
        <v>16</v>
      </c>
      <c r="H465" s="1" t="s">
        <v>29</v>
      </c>
      <c r="I465" s="4">
        <v>1729.14</v>
      </c>
      <c r="J465" s="4">
        <v>1870.88</v>
      </c>
      <c r="K465">
        <v>15</v>
      </c>
      <c r="L465" s="3">
        <v>0.23</v>
      </c>
      <c r="M465" s="4">
        <v>25937.1</v>
      </c>
      <c r="N465" s="4">
        <v>28059.75</v>
      </c>
      <c r="O465" s="4">
        <v>2122.65</v>
      </c>
      <c r="P465" s="3">
        <v>7.5647502205115902E-2</v>
      </c>
    </row>
    <row r="466" spans="1:16" x14ac:dyDescent="0.3">
      <c r="A466">
        <v>1019</v>
      </c>
      <c r="B466" s="2">
        <v>45124</v>
      </c>
      <c r="C466" s="1" t="s">
        <v>18</v>
      </c>
      <c r="D466" s="1" t="s">
        <v>27</v>
      </c>
      <c r="E466" s="1" t="s">
        <v>14</v>
      </c>
      <c r="F466" s="1" t="s">
        <v>15</v>
      </c>
      <c r="G466" s="1" t="s">
        <v>21</v>
      </c>
      <c r="H466" s="1" t="s">
        <v>17</v>
      </c>
      <c r="I466" s="4">
        <v>1614.19</v>
      </c>
      <c r="J466" s="4">
        <v>1882.79</v>
      </c>
      <c r="K466">
        <v>14</v>
      </c>
      <c r="L466" s="3">
        <v>0.25</v>
      </c>
      <c r="M466" s="4">
        <v>22598.66</v>
      </c>
      <c r="N466" s="4">
        <v>26355.56</v>
      </c>
      <c r="O466" s="4">
        <v>3756.9</v>
      </c>
      <c r="P466" s="3">
        <v>0.14254677191454099</v>
      </c>
    </row>
    <row r="467" spans="1:16" x14ac:dyDescent="0.3">
      <c r="A467">
        <v>1030</v>
      </c>
      <c r="B467" s="2">
        <v>45124</v>
      </c>
      <c r="C467" s="1" t="s">
        <v>18</v>
      </c>
      <c r="D467" s="1" t="s">
        <v>19</v>
      </c>
      <c r="E467" s="1" t="s">
        <v>14</v>
      </c>
      <c r="F467" s="1" t="s">
        <v>20</v>
      </c>
      <c r="G467" s="1" t="s">
        <v>16</v>
      </c>
      <c r="H467" s="1" t="s">
        <v>29</v>
      </c>
      <c r="I467" s="4">
        <v>3049.33</v>
      </c>
      <c r="J467" s="4">
        <v>3209.22</v>
      </c>
      <c r="K467">
        <v>19</v>
      </c>
      <c r="L467" s="3">
        <v>0.26</v>
      </c>
      <c r="M467" s="4">
        <v>57937.27</v>
      </c>
      <c r="N467" s="4">
        <v>60970.239999999998</v>
      </c>
      <c r="O467" s="4">
        <v>3032.97</v>
      </c>
      <c r="P467" s="3">
        <v>4.9745088751495803E-2</v>
      </c>
    </row>
    <row r="468" spans="1:16" x14ac:dyDescent="0.3">
      <c r="A468">
        <v>1089</v>
      </c>
      <c r="B468" s="2">
        <v>45124</v>
      </c>
      <c r="C468" s="1" t="s">
        <v>31</v>
      </c>
      <c r="D468" s="1" t="s">
        <v>30</v>
      </c>
      <c r="E468" s="1" t="s">
        <v>14</v>
      </c>
      <c r="F468" s="1" t="s">
        <v>15</v>
      </c>
      <c r="G468" s="1" t="s">
        <v>16</v>
      </c>
      <c r="H468" s="1" t="s">
        <v>29</v>
      </c>
      <c r="I468" s="4">
        <v>845.14</v>
      </c>
      <c r="J468" s="4">
        <v>1001.77</v>
      </c>
      <c r="K468">
        <v>31</v>
      </c>
      <c r="L468" s="3">
        <v>0.03</v>
      </c>
      <c r="M468" s="4">
        <v>26199.34</v>
      </c>
      <c r="N468" s="4">
        <v>31053.94</v>
      </c>
      <c r="O468" s="4">
        <v>4854.6000000000004</v>
      </c>
      <c r="P468" s="3">
        <v>0.15632798929861999</v>
      </c>
    </row>
    <row r="469" spans="1:16" x14ac:dyDescent="0.3">
      <c r="A469">
        <v>1090</v>
      </c>
      <c r="B469" s="2">
        <v>45124</v>
      </c>
      <c r="C469" s="1" t="s">
        <v>18</v>
      </c>
      <c r="D469" s="1" t="s">
        <v>30</v>
      </c>
      <c r="E469" s="1" t="s">
        <v>28</v>
      </c>
      <c r="F469" s="1" t="s">
        <v>15</v>
      </c>
      <c r="G469" s="1" t="s">
        <v>21</v>
      </c>
      <c r="H469" s="1" t="s">
        <v>17</v>
      </c>
      <c r="I469" s="4">
        <v>1350.47</v>
      </c>
      <c r="J469" s="4">
        <v>1514.61</v>
      </c>
      <c r="K469">
        <v>14</v>
      </c>
      <c r="L469" s="3">
        <v>0.2</v>
      </c>
      <c r="M469" s="4">
        <v>18906.580000000002</v>
      </c>
      <c r="N469" s="4">
        <v>21201.74</v>
      </c>
      <c r="O469" s="4">
        <v>2295.16</v>
      </c>
      <c r="P469" s="3">
        <v>0.108253379203782</v>
      </c>
    </row>
    <row r="470" spans="1:16" x14ac:dyDescent="0.3">
      <c r="A470">
        <v>1017</v>
      </c>
      <c r="B470" s="2">
        <v>45123</v>
      </c>
      <c r="C470" s="1" t="s">
        <v>26</v>
      </c>
      <c r="D470" s="1" t="s">
        <v>27</v>
      </c>
      <c r="E470" s="1" t="s">
        <v>24</v>
      </c>
      <c r="F470" s="1" t="s">
        <v>20</v>
      </c>
      <c r="G470" s="1" t="s">
        <v>25</v>
      </c>
      <c r="H470" s="1" t="s">
        <v>29</v>
      </c>
      <c r="I470" s="4">
        <v>1069.73</v>
      </c>
      <c r="J470" s="4">
        <v>1180.04</v>
      </c>
      <c r="K470">
        <v>18</v>
      </c>
      <c r="L470" s="3">
        <v>0.22</v>
      </c>
      <c r="M470" s="4">
        <v>19255.14</v>
      </c>
      <c r="N470" s="4">
        <v>21236.76</v>
      </c>
      <c r="O470" s="4">
        <v>1981.62</v>
      </c>
      <c r="P470" s="3">
        <v>9.3310844027055001E-2</v>
      </c>
    </row>
    <row r="471" spans="1:16" x14ac:dyDescent="0.3">
      <c r="A471">
        <v>1017</v>
      </c>
      <c r="B471" s="2">
        <v>45122</v>
      </c>
      <c r="C471" s="1" t="s">
        <v>18</v>
      </c>
      <c r="D471" s="1" t="s">
        <v>30</v>
      </c>
      <c r="E471" s="1" t="s">
        <v>28</v>
      </c>
      <c r="F471" s="1" t="s">
        <v>15</v>
      </c>
      <c r="G471" s="1" t="s">
        <v>25</v>
      </c>
      <c r="H471" s="1" t="s">
        <v>29</v>
      </c>
      <c r="I471" s="4">
        <v>1771.52</v>
      </c>
      <c r="J471" s="4">
        <v>2147.8000000000002</v>
      </c>
      <c r="K471">
        <v>23</v>
      </c>
      <c r="L471" s="3">
        <v>7.0000000000000007E-2</v>
      </c>
      <c r="M471" s="4">
        <v>40744.959999999999</v>
      </c>
      <c r="N471" s="4">
        <v>49397.79</v>
      </c>
      <c r="O471" s="4">
        <v>8652.83</v>
      </c>
      <c r="P471" s="3">
        <v>0.17516633841311499</v>
      </c>
    </row>
    <row r="472" spans="1:16" x14ac:dyDescent="0.3">
      <c r="A472">
        <v>1052</v>
      </c>
      <c r="B472" s="2">
        <v>45122</v>
      </c>
      <c r="C472" s="1" t="s">
        <v>31</v>
      </c>
      <c r="D472" s="1" t="s">
        <v>13</v>
      </c>
      <c r="E472" s="1" t="s">
        <v>22</v>
      </c>
      <c r="F472" s="1" t="s">
        <v>20</v>
      </c>
      <c r="G472" s="1" t="s">
        <v>25</v>
      </c>
      <c r="H472" s="1" t="s">
        <v>17</v>
      </c>
      <c r="I472" s="4">
        <v>3002.35</v>
      </c>
      <c r="J472" s="4">
        <v>3080.61</v>
      </c>
      <c r="K472">
        <v>48</v>
      </c>
      <c r="L472" s="3">
        <v>0.18</v>
      </c>
      <c r="M472" s="4">
        <v>144112.79999999999</v>
      </c>
      <c r="N472" s="4">
        <v>147860.64000000001</v>
      </c>
      <c r="O472" s="4">
        <v>3747.84</v>
      </c>
      <c r="P472" s="3">
        <v>2.5347110630658701E-2</v>
      </c>
    </row>
    <row r="473" spans="1:16" x14ac:dyDescent="0.3">
      <c r="A473">
        <v>1027</v>
      </c>
      <c r="B473" s="2">
        <v>45121</v>
      </c>
      <c r="C473" s="1" t="s">
        <v>23</v>
      </c>
      <c r="D473" s="1" t="s">
        <v>27</v>
      </c>
      <c r="E473" s="1" t="s">
        <v>22</v>
      </c>
      <c r="F473" s="1" t="s">
        <v>15</v>
      </c>
      <c r="G473" s="1" t="s">
        <v>16</v>
      </c>
      <c r="H473" s="1" t="s">
        <v>29</v>
      </c>
      <c r="I473" s="4">
        <v>3240.2</v>
      </c>
      <c r="J473" s="4">
        <v>3606.09</v>
      </c>
      <c r="K473">
        <v>22</v>
      </c>
      <c r="L473" s="3">
        <v>7.0000000000000007E-2</v>
      </c>
      <c r="M473" s="4">
        <v>71284.399999999994</v>
      </c>
      <c r="N473" s="4">
        <v>79332.44</v>
      </c>
      <c r="O473" s="4">
        <v>8048.04</v>
      </c>
      <c r="P473" s="3">
        <v>0.101447024697589</v>
      </c>
    </row>
    <row r="474" spans="1:16" x14ac:dyDescent="0.3">
      <c r="A474">
        <v>1030</v>
      </c>
      <c r="B474" s="2">
        <v>45121</v>
      </c>
      <c r="C474" s="1" t="s">
        <v>23</v>
      </c>
      <c r="D474" s="1" t="s">
        <v>13</v>
      </c>
      <c r="E474" s="1" t="s">
        <v>14</v>
      </c>
      <c r="F474" s="1" t="s">
        <v>15</v>
      </c>
      <c r="G474" s="1" t="s">
        <v>25</v>
      </c>
      <c r="H474" s="1" t="s">
        <v>17</v>
      </c>
      <c r="I474" s="4">
        <v>4929.7299999999996</v>
      </c>
      <c r="J474" s="4">
        <v>5088.0200000000004</v>
      </c>
      <c r="K474">
        <v>39</v>
      </c>
      <c r="L474" s="3">
        <v>0.23</v>
      </c>
      <c r="M474" s="4">
        <v>192259.47</v>
      </c>
      <c r="N474" s="4">
        <v>198423.81</v>
      </c>
      <c r="O474" s="4">
        <v>6164.34</v>
      </c>
      <c r="P474" s="3">
        <v>3.1066533799547501E-2</v>
      </c>
    </row>
    <row r="475" spans="1:16" x14ac:dyDescent="0.3">
      <c r="A475">
        <v>1081</v>
      </c>
      <c r="B475" s="2">
        <v>45121</v>
      </c>
      <c r="C475" s="1" t="s">
        <v>12</v>
      </c>
      <c r="D475" s="1" t="s">
        <v>30</v>
      </c>
      <c r="E475" s="1" t="s">
        <v>14</v>
      </c>
      <c r="F475" s="1" t="s">
        <v>15</v>
      </c>
      <c r="G475" s="1" t="s">
        <v>21</v>
      </c>
      <c r="H475" s="1" t="s">
        <v>29</v>
      </c>
      <c r="I475" s="4">
        <v>2530.15</v>
      </c>
      <c r="J475" s="4">
        <v>2568.13</v>
      </c>
      <c r="K475">
        <v>16</v>
      </c>
      <c r="L475" s="3">
        <v>0.01</v>
      </c>
      <c r="M475" s="4">
        <v>40482.400000000001</v>
      </c>
      <c r="N475" s="4">
        <v>41089.919999999998</v>
      </c>
      <c r="O475" s="4">
        <v>607.52</v>
      </c>
      <c r="P475" s="3">
        <v>1.47851346510288E-2</v>
      </c>
    </row>
    <row r="476" spans="1:16" x14ac:dyDescent="0.3">
      <c r="A476">
        <v>1004</v>
      </c>
      <c r="B476" s="2">
        <v>45120</v>
      </c>
      <c r="C476" s="1" t="s">
        <v>12</v>
      </c>
      <c r="D476" s="1" t="s">
        <v>13</v>
      </c>
      <c r="E476" s="1" t="s">
        <v>14</v>
      </c>
      <c r="F476" s="1" t="s">
        <v>20</v>
      </c>
      <c r="G476" s="1" t="s">
        <v>21</v>
      </c>
      <c r="H476" s="1" t="s">
        <v>17</v>
      </c>
      <c r="I476" s="4">
        <v>1067.83</v>
      </c>
      <c r="J476" s="4">
        <v>1189.22</v>
      </c>
      <c r="K476">
        <v>16</v>
      </c>
      <c r="L476" s="3">
        <v>0.26</v>
      </c>
      <c r="M476" s="4">
        <v>17085.28</v>
      </c>
      <c r="N476" s="4">
        <v>19023.36</v>
      </c>
      <c r="O476" s="4">
        <v>1938.08</v>
      </c>
      <c r="P476" s="3">
        <v>0.101878953034585</v>
      </c>
    </row>
    <row r="477" spans="1:16" x14ac:dyDescent="0.3">
      <c r="A477">
        <v>1021</v>
      </c>
      <c r="B477" s="2">
        <v>45120</v>
      </c>
      <c r="C477" s="1" t="s">
        <v>23</v>
      </c>
      <c r="D477" s="1" t="s">
        <v>19</v>
      </c>
      <c r="E477" s="1" t="s">
        <v>24</v>
      </c>
      <c r="F477" s="1" t="s">
        <v>20</v>
      </c>
      <c r="G477" s="1" t="s">
        <v>16</v>
      </c>
      <c r="H477" s="1" t="s">
        <v>17</v>
      </c>
      <c r="I477" s="4">
        <v>4154.3</v>
      </c>
      <c r="J477" s="4">
        <v>4469.07</v>
      </c>
      <c r="K477">
        <v>43</v>
      </c>
      <c r="L477" s="3">
        <v>0.23</v>
      </c>
      <c r="M477" s="4">
        <v>178634.9</v>
      </c>
      <c r="N477" s="4">
        <v>192160.12</v>
      </c>
      <c r="O477" s="4">
        <v>13525.22</v>
      </c>
      <c r="P477" s="3">
        <v>7.0385155879378103E-2</v>
      </c>
    </row>
    <row r="478" spans="1:16" x14ac:dyDescent="0.3">
      <c r="A478">
        <v>1054</v>
      </c>
      <c r="B478" s="2">
        <v>45120</v>
      </c>
      <c r="C478" s="1" t="s">
        <v>26</v>
      </c>
      <c r="D478" s="1" t="s">
        <v>27</v>
      </c>
      <c r="E478" s="1" t="s">
        <v>22</v>
      </c>
      <c r="F478" s="1" t="s">
        <v>15</v>
      </c>
      <c r="G478" s="1" t="s">
        <v>25</v>
      </c>
      <c r="H478" s="1" t="s">
        <v>29</v>
      </c>
      <c r="I478" s="4">
        <v>4429.8</v>
      </c>
      <c r="J478" s="4">
        <v>4694.21</v>
      </c>
      <c r="K478">
        <v>47</v>
      </c>
      <c r="L478" s="3">
        <v>0.25</v>
      </c>
      <c r="M478" s="4">
        <v>208200.6</v>
      </c>
      <c r="N478" s="4">
        <v>220616.12</v>
      </c>
      <c r="O478" s="4">
        <v>12415.52</v>
      </c>
      <c r="P478" s="3">
        <v>5.6276576707087397E-2</v>
      </c>
    </row>
    <row r="479" spans="1:16" x14ac:dyDescent="0.3">
      <c r="A479">
        <v>1023</v>
      </c>
      <c r="B479" s="2">
        <v>45119</v>
      </c>
      <c r="C479" s="1" t="s">
        <v>26</v>
      </c>
      <c r="D479" s="1" t="s">
        <v>30</v>
      </c>
      <c r="E479" s="1" t="s">
        <v>22</v>
      </c>
      <c r="F479" s="1" t="s">
        <v>15</v>
      </c>
      <c r="G479" s="1" t="s">
        <v>21</v>
      </c>
      <c r="H479" s="1" t="s">
        <v>17</v>
      </c>
      <c r="I479" s="4">
        <v>665.89</v>
      </c>
      <c r="J479" s="4">
        <v>944.79</v>
      </c>
      <c r="K479">
        <v>2</v>
      </c>
      <c r="L479" s="3">
        <v>0.1</v>
      </c>
      <c r="M479" s="4">
        <v>1331.78</v>
      </c>
      <c r="N479" s="4">
        <v>1889.38</v>
      </c>
      <c r="O479" s="4">
        <v>557.6</v>
      </c>
      <c r="P479" s="3">
        <v>0.295123267950333</v>
      </c>
    </row>
    <row r="480" spans="1:16" x14ac:dyDescent="0.3">
      <c r="A480">
        <v>1046</v>
      </c>
      <c r="B480" s="2">
        <v>45119</v>
      </c>
      <c r="C480" s="1" t="s">
        <v>12</v>
      </c>
      <c r="D480" s="1" t="s">
        <v>30</v>
      </c>
      <c r="E480" s="1" t="s">
        <v>24</v>
      </c>
      <c r="F480" s="1" t="s">
        <v>20</v>
      </c>
      <c r="G480" s="1" t="s">
        <v>21</v>
      </c>
      <c r="H480" s="1" t="s">
        <v>29</v>
      </c>
      <c r="I480" s="4">
        <v>3850.99</v>
      </c>
      <c r="J480" s="4">
        <v>4045.34</v>
      </c>
      <c r="K480">
        <v>17</v>
      </c>
      <c r="L480" s="3">
        <v>0.16</v>
      </c>
      <c r="M480" s="4">
        <v>65466.83</v>
      </c>
      <c r="N480" s="4">
        <v>68768.06</v>
      </c>
      <c r="O480" s="4">
        <v>3301.23</v>
      </c>
      <c r="P480" s="3">
        <v>4.8005280358352401E-2</v>
      </c>
    </row>
    <row r="481" spans="1:16" x14ac:dyDescent="0.3">
      <c r="A481">
        <v>1058</v>
      </c>
      <c r="B481" s="2">
        <v>45119</v>
      </c>
      <c r="C481" s="1" t="s">
        <v>12</v>
      </c>
      <c r="D481" s="1" t="s">
        <v>13</v>
      </c>
      <c r="E481" s="1" t="s">
        <v>28</v>
      </c>
      <c r="F481" s="1" t="s">
        <v>15</v>
      </c>
      <c r="G481" s="1" t="s">
        <v>25</v>
      </c>
      <c r="H481" s="1" t="s">
        <v>29</v>
      </c>
      <c r="I481" s="4">
        <v>2703.97</v>
      </c>
      <c r="J481" s="4">
        <v>2796.88</v>
      </c>
      <c r="K481">
        <v>14</v>
      </c>
      <c r="L481" s="3">
        <v>0.13</v>
      </c>
      <c r="M481" s="4">
        <v>37855.58</v>
      </c>
      <c r="N481" s="4">
        <v>39154.5</v>
      </c>
      <c r="O481" s="4">
        <v>1298.92</v>
      </c>
      <c r="P481" s="3">
        <v>3.3174220076874997E-2</v>
      </c>
    </row>
    <row r="482" spans="1:16" x14ac:dyDescent="0.3">
      <c r="A482">
        <v>1025</v>
      </c>
      <c r="B482" s="2">
        <v>45118</v>
      </c>
      <c r="C482" s="1" t="s">
        <v>31</v>
      </c>
      <c r="D482" s="1" t="s">
        <v>19</v>
      </c>
      <c r="E482" s="1" t="s">
        <v>28</v>
      </c>
      <c r="F482" s="1" t="s">
        <v>15</v>
      </c>
      <c r="G482" s="1" t="s">
        <v>21</v>
      </c>
      <c r="H482" s="1" t="s">
        <v>29</v>
      </c>
      <c r="I482" s="4">
        <v>2983.85</v>
      </c>
      <c r="J482" s="4">
        <v>3239.74</v>
      </c>
      <c r="K482">
        <v>40</v>
      </c>
      <c r="L482" s="3">
        <v>0.27</v>
      </c>
      <c r="M482" s="4">
        <v>119354</v>
      </c>
      <c r="N482" s="4">
        <v>129578.8</v>
      </c>
      <c r="O482" s="4">
        <v>10224.799999999999</v>
      </c>
      <c r="P482" s="3">
        <v>7.8907969513531503E-2</v>
      </c>
    </row>
    <row r="483" spans="1:16" x14ac:dyDescent="0.3">
      <c r="A483">
        <v>1092</v>
      </c>
      <c r="B483" s="2">
        <v>45118</v>
      </c>
      <c r="C483" s="1" t="s">
        <v>12</v>
      </c>
      <c r="D483" s="1" t="s">
        <v>13</v>
      </c>
      <c r="E483" s="1" t="s">
        <v>28</v>
      </c>
      <c r="F483" s="1" t="s">
        <v>15</v>
      </c>
      <c r="G483" s="1" t="s">
        <v>21</v>
      </c>
      <c r="H483" s="1" t="s">
        <v>29</v>
      </c>
      <c r="I483" s="4">
        <v>2595.42</v>
      </c>
      <c r="J483" s="4">
        <v>3083.06</v>
      </c>
      <c r="K483">
        <v>33</v>
      </c>
      <c r="L483" s="3">
        <v>0.08</v>
      </c>
      <c r="M483" s="4">
        <v>85648.86</v>
      </c>
      <c r="N483" s="4">
        <v>101738.34</v>
      </c>
      <c r="O483" s="4">
        <v>16089.48</v>
      </c>
      <c r="P483" s="3">
        <v>0.15814569020882399</v>
      </c>
    </row>
    <row r="484" spans="1:16" x14ac:dyDescent="0.3">
      <c r="A484">
        <v>1047</v>
      </c>
      <c r="B484" s="2">
        <v>45117</v>
      </c>
      <c r="C484" s="1" t="s">
        <v>18</v>
      </c>
      <c r="D484" s="1" t="s">
        <v>30</v>
      </c>
      <c r="E484" s="1" t="s">
        <v>22</v>
      </c>
      <c r="F484" s="1" t="s">
        <v>15</v>
      </c>
      <c r="G484" s="1" t="s">
        <v>16</v>
      </c>
      <c r="H484" s="1" t="s">
        <v>29</v>
      </c>
      <c r="I484" s="4">
        <v>4043.53</v>
      </c>
      <c r="J484" s="4">
        <v>4384.8500000000004</v>
      </c>
      <c r="K484">
        <v>36</v>
      </c>
      <c r="L484" s="3">
        <v>0.14000000000000001</v>
      </c>
      <c r="M484" s="4">
        <v>145567.07999999999</v>
      </c>
      <c r="N484" s="4">
        <v>157849.56</v>
      </c>
      <c r="O484" s="4">
        <v>12282.48</v>
      </c>
      <c r="P484" s="3">
        <v>7.7811303370120197E-2</v>
      </c>
    </row>
    <row r="485" spans="1:16" x14ac:dyDescent="0.3">
      <c r="A485">
        <v>1086</v>
      </c>
      <c r="B485" s="2">
        <v>45116</v>
      </c>
      <c r="C485" s="1" t="s">
        <v>18</v>
      </c>
      <c r="D485" s="1" t="s">
        <v>30</v>
      </c>
      <c r="E485" s="1" t="s">
        <v>22</v>
      </c>
      <c r="F485" s="1" t="s">
        <v>20</v>
      </c>
      <c r="G485" s="1" t="s">
        <v>21</v>
      </c>
      <c r="H485" s="1" t="s">
        <v>29</v>
      </c>
      <c r="I485" s="4">
        <v>2564.35</v>
      </c>
      <c r="J485" s="4">
        <v>2765.79</v>
      </c>
      <c r="K485">
        <v>28</v>
      </c>
      <c r="L485" s="3">
        <v>0.17</v>
      </c>
      <c r="M485" s="4">
        <v>71801.8</v>
      </c>
      <c r="N485" s="4">
        <v>77437.36</v>
      </c>
      <c r="O485" s="4">
        <v>5635.56</v>
      </c>
      <c r="P485" s="3">
        <v>7.2775724792270804E-2</v>
      </c>
    </row>
    <row r="486" spans="1:16" x14ac:dyDescent="0.3">
      <c r="A486">
        <v>1042</v>
      </c>
      <c r="B486" s="2">
        <v>45115</v>
      </c>
      <c r="C486" s="1" t="s">
        <v>26</v>
      </c>
      <c r="D486" s="1" t="s">
        <v>13</v>
      </c>
      <c r="E486" s="1" t="s">
        <v>28</v>
      </c>
      <c r="F486" s="1" t="s">
        <v>20</v>
      </c>
      <c r="G486" s="1" t="s">
        <v>21</v>
      </c>
      <c r="H486" s="1" t="s">
        <v>17</v>
      </c>
      <c r="I486" s="4">
        <v>1314</v>
      </c>
      <c r="J486" s="4">
        <v>1567.78</v>
      </c>
      <c r="K486">
        <v>23</v>
      </c>
      <c r="L486" s="3">
        <v>0.15</v>
      </c>
      <c r="M486" s="4">
        <v>30222</v>
      </c>
      <c r="N486" s="4">
        <v>36055.49</v>
      </c>
      <c r="O486" s="4">
        <v>5833.49</v>
      </c>
      <c r="P486" s="3">
        <v>0.16179200449085601</v>
      </c>
    </row>
    <row r="487" spans="1:16" x14ac:dyDescent="0.3">
      <c r="A487">
        <v>1004</v>
      </c>
      <c r="B487" s="2">
        <v>45114</v>
      </c>
      <c r="C487" s="1" t="s">
        <v>12</v>
      </c>
      <c r="D487" s="1" t="s">
        <v>30</v>
      </c>
      <c r="E487" s="1" t="s">
        <v>14</v>
      </c>
      <c r="F487" s="1" t="s">
        <v>20</v>
      </c>
      <c r="G487" s="1" t="s">
        <v>25</v>
      </c>
      <c r="H487" s="1" t="s">
        <v>29</v>
      </c>
      <c r="I487" s="4">
        <v>2278.87</v>
      </c>
      <c r="J487" s="4">
        <v>2646.53</v>
      </c>
      <c r="K487">
        <v>35</v>
      </c>
      <c r="L487" s="3">
        <v>0.09</v>
      </c>
      <c r="M487" s="4">
        <v>79760.45</v>
      </c>
      <c r="N487" s="4">
        <v>92625.4</v>
      </c>
      <c r="O487" s="4">
        <v>12864.95</v>
      </c>
      <c r="P487" s="3">
        <v>0.13889224769879499</v>
      </c>
    </row>
    <row r="488" spans="1:16" x14ac:dyDescent="0.3">
      <c r="A488">
        <v>1033</v>
      </c>
      <c r="B488" s="2">
        <v>45114</v>
      </c>
      <c r="C488" s="1" t="s">
        <v>12</v>
      </c>
      <c r="D488" s="1" t="s">
        <v>13</v>
      </c>
      <c r="E488" s="1" t="s">
        <v>22</v>
      </c>
      <c r="F488" s="1" t="s">
        <v>15</v>
      </c>
      <c r="G488" s="1" t="s">
        <v>25</v>
      </c>
      <c r="H488" s="1" t="s">
        <v>29</v>
      </c>
      <c r="I488" s="4">
        <v>4342.53</v>
      </c>
      <c r="J488" s="4">
        <v>4357.49</v>
      </c>
      <c r="K488">
        <v>13</v>
      </c>
      <c r="L488" s="3">
        <v>0.08</v>
      </c>
      <c r="M488" s="4">
        <v>56452.89</v>
      </c>
      <c r="N488" s="4">
        <v>56646.33</v>
      </c>
      <c r="O488" s="4">
        <v>193.44</v>
      </c>
      <c r="P488" s="3">
        <v>3.4148725963359002E-3</v>
      </c>
    </row>
    <row r="489" spans="1:16" x14ac:dyDescent="0.3">
      <c r="A489">
        <v>1047</v>
      </c>
      <c r="B489" s="2">
        <v>45114</v>
      </c>
      <c r="C489" s="1" t="s">
        <v>18</v>
      </c>
      <c r="D489" s="1" t="s">
        <v>27</v>
      </c>
      <c r="E489" s="1" t="s">
        <v>14</v>
      </c>
      <c r="F489" s="1" t="s">
        <v>15</v>
      </c>
      <c r="G489" s="1" t="s">
        <v>16</v>
      </c>
      <c r="H489" s="1" t="s">
        <v>29</v>
      </c>
      <c r="I489" s="4">
        <v>957.95</v>
      </c>
      <c r="J489" s="4">
        <v>1329.26</v>
      </c>
      <c r="K489">
        <v>15</v>
      </c>
      <c r="L489" s="3">
        <v>0.21</v>
      </c>
      <c r="M489" s="4">
        <v>14369.25</v>
      </c>
      <c r="N489" s="4">
        <v>19935.75</v>
      </c>
      <c r="O489" s="4">
        <v>5566.5</v>
      </c>
      <c r="P489" s="3">
        <v>0.27922200067717501</v>
      </c>
    </row>
    <row r="490" spans="1:16" x14ac:dyDescent="0.3">
      <c r="A490">
        <v>1080</v>
      </c>
      <c r="B490" s="2">
        <v>45114</v>
      </c>
      <c r="C490" s="1" t="s">
        <v>31</v>
      </c>
      <c r="D490" s="1" t="s">
        <v>19</v>
      </c>
      <c r="E490" s="1" t="s">
        <v>22</v>
      </c>
      <c r="F490" s="1" t="s">
        <v>15</v>
      </c>
      <c r="G490" s="1" t="s">
        <v>25</v>
      </c>
      <c r="H490" s="1" t="s">
        <v>17</v>
      </c>
      <c r="I490" s="4">
        <v>4127.54</v>
      </c>
      <c r="J490" s="4">
        <v>4495.13</v>
      </c>
      <c r="K490">
        <v>14</v>
      </c>
      <c r="L490" s="3">
        <v>0.06</v>
      </c>
      <c r="M490" s="4">
        <v>57785.56</v>
      </c>
      <c r="N490" s="4">
        <v>62930.98</v>
      </c>
      <c r="O490" s="4">
        <v>5145.42</v>
      </c>
      <c r="P490" s="3">
        <v>8.1762909142682999E-2</v>
      </c>
    </row>
    <row r="491" spans="1:16" x14ac:dyDescent="0.3">
      <c r="A491">
        <v>1092</v>
      </c>
      <c r="B491" s="2">
        <v>45114</v>
      </c>
      <c r="C491" s="1" t="s">
        <v>26</v>
      </c>
      <c r="D491" s="1" t="s">
        <v>27</v>
      </c>
      <c r="E491" s="1" t="s">
        <v>24</v>
      </c>
      <c r="F491" s="1" t="s">
        <v>20</v>
      </c>
      <c r="G491" s="1" t="s">
        <v>21</v>
      </c>
      <c r="H491" s="1" t="s">
        <v>17</v>
      </c>
      <c r="I491" s="4">
        <v>2559.65</v>
      </c>
      <c r="J491" s="4">
        <v>2709.4</v>
      </c>
      <c r="K491">
        <v>14</v>
      </c>
      <c r="L491" s="3">
        <v>0.11</v>
      </c>
      <c r="M491" s="4">
        <v>35835.1</v>
      </c>
      <c r="N491" s="4">
        <v>37930.06</v>
      </c>
      <c r="O491" s="4">
        <v>2094.96</v>
      </c>
      <c r="P491" s="3">
        <v>5.52321826013457E-2</v>
      </c>
    </row>
    <row r="492" spans="1:16" x14ac:dyDescent="0.3">
      <c r="A492">
        <v>1053</v>
      </c>
      <c r="B492" s="2">
        <v>45113</v>
      </c>
      <c r="C492" s="1" t="s">
        <v>31</v>
      </c>
      <c r="D492" s="1" t="s">
        <v>13</v>
      </c>
      <c r="E492" s="1" t="s">
        <v>28</v>
      </c>
      <c r="F492" s="1" t="s">
        <v>15</v>
      </c>
      <c r="G492" s="1" t="s">
        <v>25</v>
      </c>
      <c r="H492" s="1" t="s">
        <v>29</v>
      </c>
      <c r="I492" s="4">
        <v>200.56</v>
      </c>
      <c r="J492" s="4">
        <v>540.38</v>
      </c>
      <c r="K492">
        <v>11</v>
      </c>
      <c r="L492" s="3">
        <v>0.18</v>
      </c>
      <c r="M492" s="4">
        <v>2206.16</v>
      </c>
      <c r="N492" s="4">
        <v>5942.2</v>
      </c>
      <c r="O492" s="4">
        <v>3736.04</v>
      </c>
      <c r="P492" s="3">
        <v>0.62873009996297702</v>
      </c>
    </row>
    <row r="493" spans="1:16" x14ac:dyDescent="0.3">
      <c r="A493">
        <v>1055</v>
      </c>
      <c r="B493" s="2">
        <v>45113</v>
      </c>
      <c r="C493" s="1" t="s">
        <v>12</v>
      </c>
      <c r="D493" s="1" t="s">
        <v>27</v>
      </c>
      <c r="E493" s="1" t="s">
        <v>14</v>
      </c>
      <c r="F493" s="1" t="s">
        <v>20</v>
      </c>
      <c r="G493" s="1" t="s">
        <v>25</v>
      </c>
      <c r="H493" s="1" t="s">
        <v>29</v>
      </c>
      <c r="I493" s="4">
        <v>4195.38</v>
      </c>
      <c r="J493" s="4">
        <v>4461.51</v>
      </c>
      <c r="K493">
        <v>16</v>
      </c>
      <c r="L493" s="3">
        <v>0.09</v>
      </c>
      <c r="M493" s="4">
        <v>67126.080000000002</v>
      </c>
      <c r="N493" s="4">
        <v>71382.720000000001</v>
      </c>
      <c r="O493" s="4">
        <v>4256.6400000000003</v>
      </c>
      <c r="P493" s="3">
        <v>5.9631238484608003E-2</v>
      </c>
    </row>
    <row r="494" spans="1:16" x14ac:dyDescent="0.3">
      <c r="A494">
        <v>1067</v>
      </c>
      <c r="B494" s="2">
        <v>45112</v>
      </c>
      <c r="C494" s="1" t="s">
        <v>26</v>
      </c>
      <c r="D494" s="1" t="s">
        <v>19</v>
      </c>
      <c r="E494" s="1" t="s">
        <v>24</v>
      </c>
      <c r="F494" s="1" t="s">
        <v>15</v>
      </c>
      <c r="G494" s="1" t="s">
        <v>16</v>
      </c>
      <c r="H494" s="1" t="s">
        <v>29</v>
      </c>
      <c r="I494" s="4">
        <v>3624.97</v>
      </c>
      <c r="J494" s="4">
        <v>3836.52</v>
      </c>
      <c r="K494">
        <v>27</v>
      </c>
      <c r="L494" s="3">
        <v>0.08</v>
      </c>
      <c r="M494" s="4">
        <v>97874.19</v>
      </c>
      <c r="N494" s="4">
        <v>103583.88</v>
      </c>
      <c r="O494" s="4">
        <v>5709.69</v>
      </c>
      <c r="P494" s="3">
        <v>5.5121414644826998E-2</v>
      </c>
    </row>
    <row r="495" spans="1:16" x14ac:dyDescent="0.3">
      <c r="A495">
        <v>1029</v>
      </c>
      <c r="B495" s="2">
        <v>45111</v>
      </c>
      <c r="C495" s="1" t="s">
        <v>31</v>
      </c>
      <c r="D495" s="1" t="s">
        <v>30</v>
      </c>
      <c r="E495" s="1" t="s">
        <v>24</v>
      </c>
      <c r="F495" s="1" t="s">
        <v>15</v>
      </c>
      <c r="G495" s="1" t="s">
        <v>16</v>
      </c>
      <c r="H495" s="1" t="s">
        <v>29</v>
      </c>
      <c r="I495" s="4">
        <v>951.21</v>
      </c>
      <c r="J495" s="4">
        <v>1320.32</v>
      </c>
      <c r="K495">
        <v>31</v>
      </c>
      <c r="L495" s="3">
        <v>0.15</v>
      </c>
      <c r="M495" s="4">
        <v>29487.51</v>
      </c>
      <c r="N495" s="4">
        <v>40925.269999999997</v>
      </c>
      <c r="O495" s="4">
        <v>11437.76</v>
      </c>
      <c r="P495" s="3">
        <v>0.279479157987229</v>
      </c>
    </row>
    <row r="496" spans="1:16" x14ac:dyDescent="0.3">
      <c r="A496">
        <v>1066</v>
      </c>
      <c r="B496" s="2">
        <v>45110</v>
      </c>
      <c r="C496" s="1" t="s">
        <v>31</v>
      </c>
      <c r="D496" s="1" t="s">
        <v>30</v>
      </c>
      <c r="E496" s="1" t="s">
        <v>24</v>
      </c>
      <c r="F496" s="1" t="s">
        <v>20</v>
      </c>
      <c r="G496" s="1" t="s">
        <v>25</v>
      </c>
      <c r="H496" s="1" t="s">
        <v>17</v>
      </c>
      <c r="I496" s="4">
        <v>2579.31</v>
      </c>
      <c r="J496" s="4">
        <v>2867.36</v>
      </c>
      <c r="K496">
        <v>15</v>
      </c>
      <c r="L496" s="3">
        <v>0.04</v>
      </c>
      <c r="M496" s="4">
        <v>38689.65</v>
      </c>
      <c r="N496" s="4">
        <v>43009.8</v>
      </c>
      <c r="O496" s="4">
        <v>4320.1499999999996</v>
      </c>
      <c r="P496" s="3">
        <v>0.100445712372529</v>
      </c>
    </row>
    <row r="497" spans="1:16" x14ac:dyDescent="0.3">
      <c r="A497">
        <v>1014</v>
      </c>
      <c r="B497" s="2">
        <v>45109</v>
      </c>
      <c r="C497" s="1" t="s">
        <v>18</v>
      </c>
      <c r="D497" s="1" t="s">
        <v>13</v>
      </c>
      <c r="E497" s="1" t="s">
        <v>14</v>
      </c>
      <c r="F497" s="1" t="s">
        <v>15</v>
      </c>
      <c r="G497" s="1" t="s">
        <v>25</v>
      </c>
      <c r="H497" s="1" t="s">
        <v>17</v>
      </c>
      <c r="I497" s="4">
        <v>4705.46</v>
      </c>
      <c r="J497" s="4">
        <v>4747.07</v>
      </c>
      <c r="K497">
        <v>7</v>
      </c>
      <c r="L497" s="3">
        <v>0.27</v>
      </c>
      <c r="M497" s="4">
        <v>32938.22</v>
      </c>
      <c r="N497" s="4">
        <v>33227.599999999999</v>
      </c>
      <c r="O497" s="4">
        <v>289.38</v>
      </c>
      <c r="P497" s="3">
        <v>8.7090250273868693E-3</v>
      </c>
    </row>
    <row r="498" spans="1:16" x14ac:dyDescent="0.3">
      <c r="A498">
        <v>1067</v>
      </c>
      <c r="B498" s="2">
        <v>45109</v>
      </c>
      <c r="C498" s="1" t="s">
        <v>26</v>
      </c>
      <c r="D498" s="1" t="s">
        <v>30</v>
      </c>
      <c r="E498" s="1" t="s">
        <v>28</v>
      </c>
      <c r="F498" s="1" t="s">
        <v>15</v>
      </c>
      <c r="G498" s="1" t="s">
        <v>25</v>
      </c>
      <c r="H498" s="1" t="s">
        <v>29</v>
      </c>
      <c r="I498" s="4">
        <v>689.66</v>
      </c>
      <c r="J498" s="4">
        <v>1150.28</v>
      </c>
      <c r="K498">
        <v>36</v>
      </c>
      <c r="L498" s="3">
        <v>0.2</v>
      </c>
      <c r="M498" s="4">
        <v>24827.759999999998</v>
      </c>
      <c r="N498" s="4">
        <v>41402.879999999997</v>
      </c>
      <c r="O498" s="4">
        <v>16575.12</v>
      </c>
      <c r="P498" s="3">
        <v>0.40033736783528101</v>
      </c>
    </row>
    <row r="499" spans="1:16" x14ac:dyDescent="0.3">
      <c r="A499">
        <v>1027</v>
      </c>
      <c r="B499" s="2">
        <v>45108</v>
      </c>
      <c r="C499" s="1" t="s">
        <v>12</v>
      </c>
      <c r="D499" s="1" t="s">
        <v>30</v>
      </c>
      <c r="E499" s="1" t="s">
        <v>14</v>
      </c>
      <c r="F499" s="1" t="s">
        <v>15</v>
      </c>
      <c r="G499" s="1" t="s">
        <v>21</v>
      </c>
      <c r="H499" s="1" t="s">
        <v>17</v>
      </c>
      <c r="I499" s="4">
        <v>1615.26</v>
      </c>
      <c r="J499" s="4">
        <v>1710.95</v>
      </c>
      <c r="K499">
        <v>15</v>
      </c>
      <c r="L499" s="3">
        <v>0.23</v>
      </c>
      <c r="M499" s="4">
        <v>24228.9</v>
      </c>
      <c r="N499" s="4">
        <v>25660.799999999999</v>
      </c>
      <c r="O499" s="4">
        <v>1431.9</v>
      </c>
      <c r="P499" s="3">
        <v>5.5801066217732898E-2</v>
      </c>
    </row>
    <row r="500" spans="1:16" x14ac:dyDescent="0.3">
      <c r="A500">
        <v>1036</v>
      </c>
      <c r="B500" s="2">
        <v>45108</v>
      </c>
      <c r="C500" s="1" t="s">
        <v>26</v>
      </c>
      <c r="D500" s="1" t="s">
        <v>19</v>
      </c>
      <c r="E500" s="1" t="s">
        <v>24</v>
      </c>
      <c r="F500" s="1" t="s">
        <v>20</v>
      </c>
      <c r="G500" s="1" t="s">
        <v>21</v>
      </c>
      <c r="H500" s="1" t="s">
        <v>29</v>
      </c>
      <c r="I500" s="4">
        <v>1475</v>
      </c>
      <c r="J500" s="4">
        <v>1840.77</v>
      </c>
      <c r="K500">
        <v>17</v>
      </c>
      <c r="L500" s="3">
        <v>0.1</v>
      </c>
      <c r="M500" s="4">
        <v>25075</v>
      </c>
      <c r="N500" s="4">
        <v>31291.39</v>
      </c>
      <c r="O500" s="4">
        <v>6216.39</v>
      </c>
      <c r="P500" s="3">
        <v>0.19866135700587301</v>
      </c>
    </row>
    <row r="501" spans="1:16" x14ac:dyDescent="0.3">
      <c r="A501">
        <v>1090</v>
      </c>
      <c r="B501" s="2">
        <v>45108</v>
      </c>
      <c r="C501" s="1" t="s">
        <v>18</v>
      </c>
      <c r="D501" s="1" t="s">
        <v>30</v>
      </c>
      <c r="E501" s="1" t="s">
        <v>24</v>
      </c>
      <c r="F501" s="1" t="s">
        <v>15</v>
      </c>
      <c r="G501" s="1" t="s">
        <v>16</v>
      </c>
      <c r="H501" s="1" t="s">
        <v>17</v>
      </c>
      <c r="I501" s="4">
        <v>4496.8599999999997</v>
      </c>
      <c r="J501" s="4">
        <v>4880.8</v>
      </c>
      <c r="K501">
        <v>31</v>
      </c>
      <c r="L501" s="3">
        <v>0.06</v>
      </c>
      <c r="M501" s="4">
        <v>139402.66</v>
      </c>
      <c r="N501" s="4">
        <v>151302.94</v>
      </c>
      <c r="O501" s="4">
        <v>11900.28</v>
      </c>
      <c r="P501" s="3">
        <v>7.8652007687358902E-2</v>
      </c>
    </row>
    <row r="502" spans="1:16" x14ac:dyDescent="0.3">
      <c r="A502">
        <v>1032</v>
      </c>
      <c r="B502" s="2">
        <v>45107</v>
      </c>
      <c r="C502" s="1" t="s">
        <v>12</v>
      </c>
      <c r="D502" s="1" t="s">
        <v>30</v>
      </c>
      <c r="E502" s="1" t="s">
        <v>14</v>
      </c>
      <c r="F502" s="1" t="s">
        <v>20</v>
      </c>
      <c r="G502" s="1" t="s">
        <v>21</v>
      </c>
      <c r="H502" s="1" t="s">
        <v>17</v>
      </c>
      <c r="I502" s="4">
        <v>2522.7600000000002</v>
      </c>
      <c r="J502" s="4">
        <v>2840.14</v>
      </c>
      <c r="K502">
        <v>6</v>
      </c>
      <c r="L502" s="3">
        <v>7.0000000000000007E-2</v>
      </c>
      <c r="M502" s="4">
        <v>15136.56</v>
      </c>
      <c r="N502" s="4">
        <v>17040.419999999998</v>
      </c>
      <c r="O502" s="4">
        <v>1903.86</v>
      </c>
      <c r="P502" s="3">
        <v>0.111726119426634</v>
      </c>
    </row>
    <row r="503" spans="1:16" x14ac:dyDescent="0.3">
      <c r="A503">
        <v>1065</v>
      </c>
      <c r="B503" s="2">
        <v>45107</v>
      </c>
      <c r="C503" s="1" t="s">
        <v>12</v>
      </c>
      <c r="D503" s="1" t="s">
        <v>27</v>
      </c>
      <c r="E503" s="1" t="s">
        <v>24</v>
      </c>
      <c r="F503" s="1" t="s">
        <v>20</v>
      </c>
      <c r="G503" s="1" t="s">
        <v>21</v>
      </c>
      <c r="H503" s="1" t="s">
        <v>17</v>
      </c>
      <c r="I503" s="4">
        <v>1339</v>
      </c>
      <c r="J503" s="4">
        <v>1441.88</v>
      </c>
      <c r="K503">
        <v>13</v>
      </c>
      <c r="L503" s="3">
        <v>0.23</v>
      </c>
      <c r="M503" s="4">
        <v>17407</v>
      </c>
      <c r="N503" s="4">
        <v>18741.45</v>
      </c>
      <c r="O503" s="4">
        <v>1334.45</v>
      </c>
      <c r="P503" s="3">
        <v>7.1203135296361797E-2</v>
      </c>
    </row>
    <row r="504" spans="1:16" x14ac:dyDescent="0.3">
      <c r="A504">
        <v>1086</v>
      </c>
      <c r="B504" s="2">
        <v>45107</v>
      </c>
      <c r="C504" s="1" t="s">
        <v>23</v>
      </c>
      <c r="D504" s="1" t="s">
        <v>30</v>
      </c>
      <c r="E504" s="1" t="s">
        <v>14</v>
      </c>
      <c r="F504" s="1" t="s">
        <v>15</v>
      </c>
      <c r="G504" s="1" t="s">
        <v>16</v>
      </c>
      <c r="H504" s="1" t="s">
        <v>17</v>
      </c>
      <c r="I504" s="4">
        <v>2245.64</v>
      </c>
      <c r="J504" s="4">
        <v>2260.81</v>
      </c>
      <c r="K504">
        <v>46</v>
      </c>
      <c r="L504" s="3">
        <v>0</v>
      </c>
      <c r="M504" s="4">
        <v>103299.44</v>
      </c>
      <c r="N504" s="4">
        <v>103997.26</v>
      </c>
      <c r="O504" s="4">
        <v>697.82</v>
      </c>
      <c r="P504" s="3">
        <v>6.7099844745909703E-3</v>
      </c>
    </row>
    <row r="505" spans="1:16" x14ac:dyDescent="0.3">
      <c r="A505">
        <v>1067</v>
      </c>
      <c r="B505" s="2">
        <v>45106</v>
      </c>
      <c r="C505" s="1" t="s">
        <v>12</v>
      </c>
      <c r="D505" s="1" t="s">
        <v>27</v>
      </c>
      <c r="E505" s="1" t="s">
        <v>22</v>
      </c>
      <c r="F505" s="1" t="s">
        <v>20</v>
      </c>
      <c r="G505" s="1" t="s">
        <v>25</v>
      </c>
      <c r="H505" s="1" t="s">
        <v>29</v>
      </c>
      <c r="I505" s="4">
        <v>4319.32</v>
      </c>
      <c r="J505" s="4">
        <v>4625.5600000000004</v>
      </c>
      <c r="K505">
        <v>48</v>
      </c>
      <c r="L505" s="3">
        <v>0.1</v>
      </c>
      <c r="M505" s="4">
        <v>207327.35999999999</v>
      </c>
      <c r="N505" s="4">
        <v>222022.08</v>
      </c>
      <c r="O505" s="4">
        <v>14694.72</v>
      </c>
      <c r="P505" s="3">
        <v>6.6185849623605006E-2</v>
      </c>
    </row>
    <row r="506" spans="1:16" x14ac:dyDescent="0.3">
      <c r="A506">
        <v>1075</v>
      </c>
      <c r="B506" s="2">
        <v>45106</v>
      </c>
      <c r="C506" s="1" t="s">
        <v>18</v>
      </c>
      <c r="D506" s="1" t="s">
        <v>27</v>
      </c>
      <c r="E506" s="1" t="s">
        <v>24</v>
      </c>
      <c r="F506" s="1" t="s">
        <v>15</v>
      </c>
      <c r="G506" s="1" t="s">
        <v>25</v>
      </c>
      <c r="H506" s="1" t="s">
        <v>29</v>
      </c>
      <c r="I506" s="4">
        <v>738.06</v>
      </c>
      <c r="J506" s="4">
        <v>1095.45</v>
      </c>
      <c r="K506">
        <v>30</v>
      </c>
      <c r="L506" s="3">
        <v>0.05</v>
      </c>
      <c r="M506" s="4">
        <v>22141.8</v>
      </c>
      <c r="N506" s="4">
        <v>32862</v>
      </c>
      <c r="O506" s="4">
        <v>10720.2</v>
      </c>
      <c r="P506" s="3">
        <v>0.32621873288296499</v>
      </c>
    </row>
    <row r="507" spans="1:16" x14ac:dyDescent="0.3">
      <c r="A507">
        <v>1004</v>
      </c>
      <c r="B507" s="2">
        <v>45105</v>
      </c>
      <c r="C507" s="1" t="s">
        <v>23</v>
      </c>
      <c r="D507" s="1" t="s">
        <v>19</v>
      </c>
      <c r="E507" s="1" t="s">
        <v>24</v>
      </c>
      <c r="F507" s="1" t="s">
        <v>20</v>
      </c>
      <c r="G507" s="1" t="s">
        <v>21</v>
      </c>
      <c r="H507" s="1" t="s">
        <v>17</v>
      </c>
      <c r="I507" s="4">
        <v>4881.63</v>
      </c>
      <c r="J507" s="4">
        <v>5088.0600000000004</v>
      </c>
      <c r="K507">
        <v>38</v>
      </c>
      <c r="L507" s="3">
        <v>0.16</v>
      </c>
      <c r="M507" s="4">
        <v>185501.94</v>
      </c>
      <c r="N507" s="4">
        <v>193340.2</v>
      </c>
      <c r="O507" s="4">
        <v>7838.26</v>
      </c>
      <c r="P507" s="3">
        <v>4.0541284223353402E-2</v>
      </c>
    </row>
    <row r="508" spans="1:16" x14ac:dyDescent="0.3">
      <c r="A508">
        <v>1023</v>
      </c>
      <c r="B508" s="2">
        <v>45105</v>
      </c>
      <c r="C508" s="1" t="s">
        <v>12</v>
      </c>
      <c r="D508" s="1" t="s">
        <v>13</v>
      </c>
      <c r="E508" s="1" t="s">
        <v>14</v>
      </c>
      <c r="F508" s="1" t="s">
        <v>20</v>
      </c>
      <c r="G508" s="1" t="s">
        <v>16</v>
      </c>
      <c r="H508" s="1" t="s">
        <v>17</v>
      </c>
      <c r="I508" s="4">
        <v>4155.46</v>
      </c>
      <c r="J508" s="4">
        <v>4273.6000000000004</v>
      </c>
      <c r="K508">
        <v>9</v>
      </c>
      <c r="L508" s="3">
        <v>0.25</v>
      </c>
      <c r="M508" s="4">
        <v>37399.14</v>
      </c>
      <c r="N508" s="4">
        <v>38460.15</v>
      </c>
      <c r="O508" s="4">
        <v>1061.01</v>
      </c>
      <c r="P508" s="3">
        <v>2.7587255899938001E-2</v>
      </c>
    </row>
    <row r="509" spans="1:16" x14ac:dyDescent="0.3">
      <c r="A509">
        <v>1059</v>
      </c>
      <c r="B509" s="2">
        <v>45105</v>
      </c>
      <c r="C509" s="1" t="s">
        <v>23</v>
      </c>
      <c r="D509" s="1" t="s">
        <v>30</v>
      </c>
      <c r="E509" s="1" t="s">
        <v>28</v>
      </c>
      <c r="F509" s="1" t="s">
        <v>15</v>
      </c>
      <c r="G509" s="1" t="s">
        <v>21</v>
      </c>
      <c r="H509" s="1" t="s">
        <v>17</v>
      </c>
      <c r="I509" s="4">
        <v>1969.78</v>
      </c>
      <c r="J509" s="4">
        <v>2437.6999999999998</v>
      </c>
      <c r="K509">
        <v>13</v>
      </c>
      <c r="L509" s="3">
        <v>0.19</v>
      </c>
      <c r="M509" s="4">
        <v>25607.14</v>
      </c>
      <c r="N509" s="4">
        <v>31687.63</v>
      </c>
      <c r="O509" s="4">
        <v>6080.49</v>
      </c>
      <c r="P509" s="3">
        <v>0.191888443534591</v>
      </c>
    </row>
    <row r="510" spans="1:16" x14ac:dyDescent="0.3">
      <c r="A510">
        <v>1090</v>
      </c>
      <c r="B510" s="2">
        <v>45105</v>
      </c>
      <c r="C510" s="1" t="s">
        <v>31</v>
      </c>
      <c r="D510" s="1" t="s">
        <v>30</v>
      </c>
      <c r="E510" s="1" t="s">
        <v>14</v>
      </c>
      <c r="F510" s="1" t="s">
        <v>20</v>
      </c>
      <c r="G510" s="1" t="s">
        <v>21</v>
      </c>
      <c r="H510" s="1" t="s">
        <v>29</v>
      </c>
      <c r="I510" s="4">
        <v>3736.88</v>
      </c>
      <c r="J510" s="4">
        <v>3946.77</v>
      </c>
      <c r="K510">
        <v>41</v>
      </c>
      <c r="L510" s="3">
        <v>0.06</v>
      </c>
      <c r="M510" s="4">
        <v>153212.07999999999</v>
      </c>
      <c r="N510" s="4">
        <v>161815.10999999999</v>
      </c>
      <c r="O510" s="4">
        <v>8603.0300000000007</v>
      </c>
      <c r="P510" s="3">
        <v>5.3165801389005E-2</v>
      </c>
    </row>
    <row r="511" spans="1:16" x14ac:dyDescent="0.3">
      <c r="A511">
        <v>1004</v>
      </c>
      <c r="B511" s="2">
        <v>45104</v>
      </c>
      <c r="C511" s="1" t="s">
        <v>26</v>
      </c>
      <c r="D511" s="1" t="s">
        <v>19</v>
      </c>
      <c r="E511" s="1" t="s">
        <v>28</v>
      </c>
      <c r="F511" s="1" t="s">
        <v>20</v>
      </c>
      <c r="G511" s="1" t="s">
        <v>21</v>
      </c>
      <c r="H511" s="1" t="s">
        <v>17</v>
      </c>
      <c r="I511" s="4">
        <v>2953.23</v>
      </c>
      <c r="J511" s="4">
        <v>2977.52</v>
      </c>
      <c r="K511">
        <v>2</v>
      </c>
      <c r="L511" s="3">
        <v>0.11</v>
      </c>
      <c r="M511" s="4">
        <v>5906.46</v>
      </c>
      <c r="N511" s="4">
        <v>5954.82</v>
      </c>
      <c r="O511" s="4">
        <v>48.36</v>
      </c>
      <c r="P511" s="3">
        <v>8.1211522766431194E-3</v>
      </c>
    </row>
    <row r="512" spans="1:16" x14ac:dyDescent="0.3">
      <c r="A512">
        <v>1021</v>
      </c>
      <c r="B512" s="2">
        <v>45104</v>
      </c>
      <c r="C512" s="1" t="s">
        <v>31</v>
      </c>
      <c r="D512" s="1" t="s">
        <v>30</v>
      </c>
      <c r="E512" s="1" t="s">
        <v>28</v>
      </c>
      <c r="F512" s="1" t="s">
        <v>15</v>
      </c>
      <c r="G512" s="1" t="s">
        <v>21</v>
      </c>
      <c r="H512" s="1" t="s">
        <v>17</v>
      </c>
      <c r="I512" s="4">
        <v>1222.4000000000001</v>
      </c>
      <c r="J512" s="4">
        <v>1464.71</v>
      </c>
      <c r="K512">
        <v>19</v>
      </c>
      <c r="L512" s="3">
        <v>0</v>
      </c>
      <c r="M512" s="4">
        <v>23225.599999999999</v>
      </c>
      <c r="N512" s="4">
        <v>27829.49</v>
      </c>
      <c r="O512" s="4">
        <v>4603.8900000000003</v>
      </c>
      <c r="P512" s="3">
        <v>0.16543206505041999</v>
      </c>
    </row>
    <row r="513" spans="1:16" x14ac:dyDescent="0.3">
      <c r="A513">
        <v>1039</v>
      </c>
      <c r="B513" s="2">
        <v>45104</v>
      </c>
      <c r="C513" s="1" t="s">
        <v>23</v>
      </c>
      <c r="D513" s="1" t="s">
        <v>13</v>
      </c>
      <c r="E513" s="1" t="s">
        <v>28</v>
      </c>
      <c r="F513" s="1" t="s">
        <v>20</v>
      </c>
      <c r="G513" s="1" t="s">
        <v>21</v>
      </c>
      <c r="H513" s="1" t="s">
        <v>17</v>
      </c>
      <c r="I513" s="4">
        <v>4394.58</v>
      </c>
      <c r="J513" s="4">
        <v>4545.78</v>
      </c>
      <c r="K513">
        <v>2</v>
      </c>
      <c r="L513" s="3">
        <v>0.2</v>
      </c>
      <c r="M513" s="4">
        <v>8789.16</v>
      </c>
      <c r="N513" s="4">
        <v>9091.16</v>
      </c>
      <c r="O513" s="4">
        <v>302</v>
      </c>
      <c r="P513" s="3">
        <v>3.3219083153304997E-2</v>
      </c>
    </row>
    <row r="514" spans="1:16" x14ac:dyDescent="0.3">
      <c r="A514">
        <v>1080</v>
      </c>
      <c r="B514" s="2">
        <v>45104</v>
      </c>
      <c r="C514" s="1" t="s">
        <v>12</v>
      </c>
      <c r="D514" s="1" t="s">
        <v>19</v>
      </c>
      <c r="E514" s="1" t="s">
        <v>24</v>
      </c>
      <c r="F514" s="1" t="s">
        <v>20</v>
      </c>
      <c r="G514" s="1" t="s">
        <v>16</v>
      </c>
      <c r="H514" s="1" t="s">
        <v>29</v>
      </c>
      <c r="I514" s="4">
        <v>900.97</v>
      </c>
      <c r="J514" s="4">
        <v>1321.18</v>
      </c>
      <c r="K514">
        <v>35</v>
      </c>
      <c r="L514" s="3">
        <v>0.1</v>
      </c>
      <c r="M514" s="4">
        <v>31533.95</v>
      </c>
      <c r="N514" s="4">
        <v>46237.8</v>
      </c>
      <c r="O514" s="4">
        <v>14703.85</v>
      </c>
      <c r="P514" s="3">
        <v>0.31800496563417802</v>
      </c>
    </row>
    <row r="515" spans="1:16" x14ac:dyDescent="0.3">
      <c r="A515">
        <v>1016</v>
      </c>
      <c r="B515" s="2">
        <v>45103</v>
      </c>
      <c r="C515" s="1" t="s">
        <v>31</v>
      </c>
      <c r="D515" s="1" t="s">
        <v>30</v>
      </c>
      <c r="E515" s="1" t="s">
        <v>28</v>
      </c>
      <c r="F515" s="1" t="s">
        <v>20</v>
      </c>
      <c r="G515" s="1" t="s">
        <v>25</v>
      </c>
      <c r="H515" s="1" t="s">
        <v>17</v>
      </c>
      <c r="I515" s="4">
        <v>3401.87</v>
      </c>
      <c r="J515" s="4">
        <v>3733.71</v>
      </c>
      <c r="K515">
        <v>3</v>
      </c>
      <c r="L515" s="3">
        <v>0.06</v>
      </c>
      <c r="M515" s="4">
        <v>10205.61</v>
      </c>
      <c r="N515" s="4">
        <v>11200.95</v>
      </c>
      <c r="O515" s="4">
        <v>995.34</v>
      </c>
      <c r="P515" s="3">
        <v>8.8862105446413001E-2</v>
      </c>
    </row>
    <row r="516" spans="1:16" x14ac:dyDescent="0.3">
      <c r="A516">
        <v>1025</v>
      </c>
      <c r="B516" s="2">
        <v>45103</v>
      </c>
      <c r="C516" s="1" t="s">
        <v>18</v>
      </c>
      <c r="D516" s="1" t="s">
        <v>30</v>
      </c>
      <c r="E516" s="1" t="s">
        <v>24</v>
      </c>
      <c r="F516" s="1" t="s">
        <v>15</v>
      </c>
      <c r="G516" s="1" t="s">
        <v>21</v>
      </c>
      <c r="H516" s="1" t="s">
        <v>29</v>
      </c>
      <c r="I516" s="4">
        <v>3861.61</v>
      </c>
      <c r="J516" s="4">
        <v>3998.91</v>
      </c>
      <c r="K516">
        <v>47</v>
      </c>
      <c r="L516" s="3">
        <v>0.25</v>
      </c>
      <c r="M516" s="4">
        <v>181495.67</v>
      </c>
      <c r="N516" s="4">
        <v>187937.02</v>
      </c>
      <c r="O516" s="4">
        <v>6441.35</v>
      </c>
      <c r="P516" s="3">
        <v>3.4273981783897602E-2</v>
      </c>
    </row>
    <row r="517" spans="1:16" x14ac:dyDescent="0.3">
      <c r="A517">
        <v>1064</v>
      </c>
      <c r="B517" s="2">
        <v>45103</v>
      </c>
      <c r="C517" s="1" t="s">
        <v>26</v>
      </c>
      <c r="D517" s="1" t="s">
        <v>30</v>
      </c>
      <c r="E517" s="1" t="s">
        <v>14</v>
      </c>
      <c r="F517" s="1" t="s">
        <v>20</v>
      </c>
      <c r="G517" s="1" t="s">
        <v>21</v>
      </c>
      <c r="H517" s="1" t="s">
        <v>17</v>
      </c>
      <c r="I517" s="4">
        <v>2278.04</v>
      </c>
      <c r="J517" s="4">
        <v>2598.58</v>
      </c>
      <c r="K517">
        <v>21</v>
      </c>
      <c r="L517" s="3">
        <v>0.02</v>
      </c>
      <c r="M517" s="4">
        <v>47838.84</v>
      </c>
      <c r="N517" s="4">
        <v>54569.760000000002</v>
      </c>
      <c r="O517" s="4">
        <v>6730.92</v>
      </c>
      <c r="P517" s="3">
        <v>0.12334523736223101</v>
      </c>
    </row>
    <row r="518" spans="1:16" x14ac:dyDescent="0.3">
      <c r="A518">
        <v>1071</v>
      </c>
      <c r="B518" s="2">
        <v>45103</v>
      </c>
      <c r="C518" s="1" t="s">
        <v>18</v>
      </c>
      <c r="D518" s="1" t="s">
        <v>30</v>
      </c>
      <c r="E518" s="1" t="s">
        <v>14</v>
      </c>
      <c r="F518" s="1" t="s">
        <v>15</v>
      </c>
      <c r="G518" s="1" t="s">
        <v>21</v>
      </c>
      <c r="H518" s="1" t="s">
        <v>29</v>
      </c>
      <c r="I518" s="4">
        <v>295.82</v>
      </c>
      <c r="J518" s="4">
        <v>684.67</v>
      </c>
      <c r="K518">
        <v>35</v>
      </c>
      <c r="L518" s="3">
        <v>0.03</v>
      </c>
      <c r="M518" s="4">
        <v>10353.700000000001</v>
      </c>
      <c r="N518" s="4">
        <v>23962.400000000001</v>
      </c>
      <c r="O518" s="4">
        <v>13608.7</v>
      </c>
      <c r="P518" s="3">
        <v>0.56791890628651598</v>
      </c>
    </row>
    <row r="519" spans="1:16" x14ac:dyDescent="0.3">
      <c r="A519">
        <v>1089</v>
      </c>
      <c r="B519" s="2">
        <v>45103</v>
      </c>
      <c r="C519" s="1" t="s">
        <v>12</v>
      </c>
      <c r="D519" s="1" t="s">
        <v>30</v>
      </c>
      <c r="E519" s="1" t="s">
        <v>24</v>
      </c>
      <c r="F519" s="1" t="s">
        <v>15</v>
      </c>
      <c r="G519" s="1" t="s">
        <v>16</v>
      </c>
      <c r="H519" s="1" t="s">
        <v>29</v>
      </c>
      <c r="I519" s="4">
        <v>3925.85</v>
      </c>
      <c r="J519" s="4">
        <v>4082.11</v>
      </c>
      <c r="K519">
        <v>35</v>
      </c>
      <c r="L519" s="3">
        <v>0.22</v>
      </c>
      <c r="M519" s="4">
        <v>137404.75</v>
      </c>
      <c r="N519" s="4">
        <v>142866.15</v>
      </c>
      <c r="O519" s="4">
        <v>5461.4</v>
      </c>
      <c r="P519" s="3">
        <v>3.8227389763075402E-2</v>
      </c>
    </row>
    <row r="520" spans="1:16" x14ac:dyDescent="0.3">
      <c r="A520">
        <v>1016</v>
      </c>
      <c r="B520" s="2">
        <v>45102</v>
      </c>
      <c r="C520" s="1" t="s">
        <v>26</v>
      </c>
      <c r="D520" s="1" t="s">
        <v>19</v>
      </c>
      <c r="E520" s="1" t="s">
        <v>28</v>
      </c>
      <c r="F520" s="1" t="s">
        <v>20</v>
      </c>
      <c r="G520" s="1" t="s">
        <v>16</v>
      </c>
      <c r="H520" s="1" t="s">
        <v>17</v>
      </c>
      <c r="I520" s="4">
        <v>3144.82</v>
      </c>
      <c r="J520" s="4">
        <v>3480.58</v>
      </c>
      <c r="K520">
        <v>2</v>
      </c>
      <c r="L520" s="3">
        <v>0.12</v>
      </c>
      <c r="M520" s="4">
        <v>6289.64</v>
      </c>
      <c r="N520" s="4">
        <v>6960.92</v>
      </c>
      <c r="O520" s="4">
        <v>671.28</v>
      </c>
      <c r="P520" s="3">
        <v>9.6435528637019194E-2</v>
      </c>
    </row>
    <row r="521" spans="1:16" x14ac:dyDescent="0.3">
      <c r="A521">
        <v>1031</v>
      </c>
      <c r="B521" s="2">
        <v>45102</v>
      </c>
      <c r="C521" s="1" t="s">
        <v>26</v>
      </c>
      <c r="D521" s="1" t="s">
        <v>19</v>
      </c>
      <c r="E521" s="1" t="s">
        <v>28</v>
      </c>
      <c r="F521" s="1" t="s">
        <v>20</v>
      </c>
      <c r="G521" s="1" t="s">
        <v>21</v>
      </c>
      <c r="H521" s="1" t="s">
        <v>17</v>
      </c>
      <c r="I521" s="4">
        <v>566.86</v>
      </c>
      <c r="J521" s="4">
        <v>818.14</v>
      </c>
      <c r="K521">
        <v>10</v>
      </c>
      <c r="L521" s="3">
        <v>0.25</v>
      </c>
      <c r="M521" s="4">
        <v>5668.6</v>
      </c>
      <c r="N521" s="4">
        <v>8178.9</v>
      </c>
      <c r="O521" s="4">
        <v>2510.3000000000002</v>
      </c>
      <c r="P521" s="3">
        <v>0.30692391397376201</v>
      </c>
    </row>
    <row r="522" spans="1:16" x14ac:dyDescent="0.3">
      <c r="A522">
        <v>1045</v>
      </c>
      <c r="B522" s="2">
        <v>45102</v>
      </c>
      <c r="C522" s="1" t="s">
        <v>12</v>
      </c>
      <c r="D522" s="1" t="s">
        <v>27</v>
      </c>
      <c r="E522" s="1" t="s">
        <v>14</v>
      </c>
      <c r="F522" s="1" t="s">
        <v>20</v>
      </c>
      <c r="G522" s="1" t="s">
        <v>21</v>
      </c>
      <c r="H522" s="1" t="s">
        <v>29</v>
      </c>
      <c r="I522" s="4">
        <v>4920.34</v>
      </c>
      <c r="J522" s="4">
        <v>5129.1899999999996</v>
      </c>
      <c r="K522">
        <v>9</v>
      </c>
      <c r="L522" s="3">
        <v>0.13</v>
      </c>
      <c r="M522" s="4">
        <v>44283.06</v>
      </c>
      <c r="N522" s="4">
        <v>46161.54</v>
      </c>
      <c r="O522" s="4">
        <v>1878.48</v>
      </c>
      <c r="P522" s="3">
        <v>4.06936163741504E-2</v>
      </c>
    </row>
    <row r="523" spans="1:16" x14ac:dyDescent="0.3">
      <c r="A523">
        <v>1021</v>
      </c>
      <c r="B523" s="2">
        <v>45101</v>
      </c>
      <c r="C523" s="1" t="s">
        <v>26</v>
      </c>
      <c r="D523" s="1" t="s">
        <v>19</v>
      </c>
      <c r="E523" s="1" t="s">
        <v>28</v>
      </c>
      <c r="F523" s="1" t="s">
        <v>20</v>
      </c>
      <c r="G523" s="1" t="s">
        <v>21</v>
      </c>
      <c r="H523" s="1" t="s">
        <v>29</v>
      </c>
      <c r="I523" s="4">
        <v>4916.17</v>
      </c>
      <c r="J523" s="4">
        <v>5309.32</v>
      </c>
      <c r="K523">
        <v>24</v>
      </c>
      <c r="L523" s="3">
        <v>0.19</v>
      </c>
      <c r="M523" s="4">
        <v>117988.08</v>
      </c>
      <c r="N523" s="4">
        <v>127419.12</v>
      </c>
      <c r="O523" s="4">
        <v>9431.0400000000009</v>
      </c>
      <c r="P523" s="3">
        <v>7.4015893376127601E-2</v>
      </c>
    </row>
    <row r="524" spans="1:16" x14ac:dyDescent="0.3">
      <c r="A524">
        <v>1024</v>
      </c>
      <c r="B524" s="2">
        <v>45101</v>
      </c>
      <c r="C524" s="1" t="s">
        <v>26</v>
      </c>
      <c r="D524" s="1" t="s">
        <v>30</v>
      </c>
      <c r="E524" s="1" t="s">
        <v>14</v>
      </c>
      <c r="F524" s="1" t="s">
        <v>15</v>
      </c>
      <c r="G524" s="1" t="s">
        <v>16</v>
      </c>
      <c r="H524" s="1" t="s">
        <v>29</v>
      </c>
      <c r="I524" s="4">
        <v>3105.24</v>
      </c>
      <c r="J524" s="4">
        <v>3246.33</v>
      </c>
      <c r="K524">
        <v>43</v>
      </c>
      <c r="L524" s="3">
        <v>0.25</v>
      </c>
      <c r="M524" s="4">
        <v>133525.32</v>
      </c>
      <c r="N524" s="4">
        <v>139581.44</v>
      </c>
      <c r="O524" s="4">
        <v>6056.12</v>
      </c>
      <c r="P524" s="3">
        <v>4.3387716876971599E-2</v>
      </c>
    </row>
    <row r="525" spans="1:16" x14ac:dyDescent="0.3">
      <c r="A525">
        <v>1066</v>
      </c>
      <c r="B525" s="2">
        <v>45101</v>
      </c>
      <c r="C525" s="1" t="s">
        <v>23</v>
      </c>
      <c r="D525" s="1" t="s">
        <v>19</v>
      </c>
      <c r="E525" s="1" t="s">
        <v>24</v>
      </c>
      <c r="F525" s="1" t="s">
        <v>15</v>
      </c>
      <c r="G525" s="1" t="s">
        <v>16</v>
      </c>
      <c r="H525" s="1" t="s">
        <v>17</v>
      </c>
      <c r="I525" s="4">
        <v>4133.92</v>
      </c>
      <c r="J525" s="4">
        <v>4358.37</v>
      </c>
      <c r="K525">
        <v>13</v>
      </c>
      <c r="L525" s="3">
        <v>0.13</v>
      </c>
      <c r="M525" s="4">
        <v>53740.959999999999</v>
      </c>
      <c r="N525" s="4">
        <v>56657.120000000003</v>
      </c>
      <c r="O525" s="4">
        <v>2916.16</v>
      </c>
      <c r="P525" s="3">
        <v>5.1470318293623099E-2</v>
      </c>
    </row>
    <row r="526" spans="1:16" x14ac:dyDescent="0.3">
      <c r="A526">
        <v>1054</v>
      </c>
      <c r="B526" s="2">
        <v>45100</v>
      </c>
      <c r="C526" s="1" t="s">
        <v>18</v>
      </c>
      <c r="D526" s="1" t="s">
        <v>19</v>
      </c>
      <c r="E526" s="1" t="s">
        <v>28</v>
      </c>
      <c r="F526" s="1" t="s">
        <v>20</v>
      </c>
      <c r="G526" s="1" t="s">
        <v>16</v>
      </c>
      <c r="H526" s="1" t="s">
        <v>17</v>
      </c>
      <c r="I526" s="4">
        <v>1456.09</v>
      </c>
      <c r="J526" s="4">
        <v>1510.43</v>
      </c>
      <c r="K526">
        <v>27</v>
      </c>
      <c r="L526" s="3">
        <v>0.17</v>
      </c>
      <c r="M526" s="4">
        <v>39314.43</v>
      </c>
      <c r="N526" s="4">
        <v>40777.019999999997</v>
      </c>
      <c r="O526" s="4">
        <v>1462.59</v>
      </c>
      <c r="P526" s="3">
        <v>3.5867996239058203E-2</v>
      </c>
    </row>
    <row r="527" spans="1:16" x14ac:dyDescent="0.3">
      <c r="A527">
        <v>1067</v>
      </c>
      <c r="B527" s="2">
        <v>45100</v>
      </c>
      <c r="C527" s="1" t="s">
        <v>23</v>
      </c>
      <c r="D527" s="1" t="s">
        <v>30</v>
      </c>
      <c r="E527" s="1" t="s">
        <v>24</v>
      </c>
      <c r="F527" s="1" t="s">
        <v>15</v>
      </c>
      <c r="G527" s="1" t="s">
        <v>16</v>
      </c>
      <c r="H527" s="1" t="s">
        <v>17</v>
      </c>
      <c r="I527" s="4">
        <v>3435.68</v>
      </c>
      <c r="J527" s="4">
        <v>3552.63</v>
      </c>
      <c r="K527">
        <v>11</v>
      </c>
      <c r="L527" s="3">
        <v>0.27</v>
      </c>
      <c r="M527" s="4">
        <v>37792.480000000003</v>
      </c>
      <c r="N527" s="4">
        <v>39075.96</v>
      </c>
      <c r="O527" s="4">
        <v>1283.48</v>
      </c>
      <c r="P527" s="3">
        <v>3.2845770135909599E-2</v>
      </c>
    </row>
    <row r="528" spans="1:16" x14ac:dyDescent="0.3">
      <c r="A528">
        <v>1004</v>
      </c>
      <c r="B528" s="2">
        <v>45099</v>
      </c>
      <c r="C528" s="1" t="s">
        <v>12</v>
      </c>
      <c r="D528" s="1" t="s">
        <v>27</v>
      </c>
      <c r="E528" s="1" t="s">
        <v>28</v>
      </c>
      <c r="F528" s="1" t="s">
        <v>20</v>
      </c>
      <c r="G528" s="1" t="s">
        <v>16</v>
      </c>
      <c r="H528" s="1" t="s">
        <v>29</v>
      </c>
      <c r="I528" s="4">
        <v>2416.89</v>
      </c>
      <c r="J528" s="4">
        <v>2778.4</v>
      </c>
      <c r="K528">
        <v>39</v>
      </c>
      <c r="L528" s="3">
        <v>0.05</v>
      </c>
      <c r="M528" s="4">
        <v>94258.71</v>
      </c>
      <c r="N528" s="4">
        <v>108355.65</v>
      </c>
      <c r="O528" s="4">
        <v>14096.94</v>
      </c>
      <c r="P528" s="3">
        <v>0.130098799647273</v>
      </c>
    </row>
    <row r="529" spans="1:16" x14ac:dyDescent="0.3">
      <c r="A529">
        <v>1063</v>
      </c>
      <c r="B529" s="2">
        <v>45099</v>
      </c>
      <c r="C529" s="1" t="s">
        <v>23</v>
      </c>
      <c r="D529" s="1" t="s">
        <v>27</v>
      </c>
      <c r="E529" s="1" t="s">
        <v>28</v>
      </c>
      <c r="F529" s="1" t="s">
        <v>15</v>
      </c>
      <c r="G529" s="1" t="s">
        <v>16</v>
      </c>
      <c r="H529" s="1" t="s">
        <v>29</v>
      </c>
      <c r="I529" s="4">
        <v>3997.1</v>
      </c>
      <c r="J529" s="4">
        <v>4212.6499999999996</v>
      </c>
      <c r="K529">
        <v>25</v>
      </c>
      <c r="L529" s="3">
        <v>0.22</v>
      </c>
      <c r="M529" s="4">
        <v>99927.5</v>
      </c>
      <c r="N529" s="4">
        <v>105310.75</v>
      </c>
      <c r="O529" s="4">
        <v>5383.25</v>
      </c>
      <c r="P529" s="3">
        <v>5.11177633812313E-2</v>
      </c>
    </row>
    <row r="530" spans="1:16" x14ac:dyDescent="0.3">
      <c r="A530">
        <v>1079</v>
      </c>
      <c r="B530" s="2">
        <v>45099</v>
      </c>
      <c r="C530" s="1" t="s">
        <v>12</v>
      </c>
      <c r="D530" s="1" t="s">
        <v>13</v>
      </c>
      <c r="E530" s="1" t="s">
        <v>14</v>
      </c>
      <c r="F530" s="1" t="s">
        <v>20</v>
      </c>
      <c r="G530" s="1" t="s">
        <v>16</v>
      </c>
      <c r="H530" s="1" t="s">
        <v>29</v>
      </c>
      <c r="I530" s="4">
        <v>437.59</v>
      </c>
      <c r="J530" s="4">
        <v>675.54</v>
      </c>
      <c r="K530">
        <v>49</v>
      </c>
      <c r="L530" s="3">
        <v>0.1</v>
      </c>
      <c r="M530" s="4">
        <v>21441.91</v>
      </c>
      <c r="N530" s="4">
        <v>33096.559999999998</v>
      </c>
      <c r="O530" s="4">
        <v>11654.65</v>
      </c>
      <c r="P530" s="3">
        <v>0.35214082672036001</v>
      </c>
    </row>
    <row r="531" spans="1:16" x14ac:dyDescent="0.3">
      <c r="A531">
        <v>1084</v>
      </c>
      <c r="B531" s="2">
        <v>45099</v>
      </c>
      <c r="C531" s="1" t="s">
        <v>12</v>
      </c>
      <c r="D531" s="1" t="s">
        <v>30</v>
      </c>
      <c r="E531" s="1" t="s">
        <v>24</v>
      </c>
      <c r="F531" s="1" t="s">
        <v>20</v>
      </c>
      <c r="G531" s="1" t="s">
        <v>21</v>
      </c>
      <c r="H531" s="1" t="s">
        <v>29</v>
      </c>
      <c r="I531" s="4">
        <v>4291.97</v>
      </c>
      <c r="J531" s="4">
        <v>4645.6400000000003</v>
      </c>
      <c r="K531">
        <v>49</v>
      </c>
      <c r="L531" s="3">
        <v>0.26</v>
      </c>
      <c r="M531" s="4">
        <v>210306.53</v>
      </c>
      <c r="N531" s="4">
        <v>227623.62</v>
      </c>
      <c r="O531" s="4">
        <v>17317.09</v>
      </c>
      <c r="P531" s="3">
        <v>7.6077737450972793E-2</v>
      </c>
    </row>
    <row r="532" spans="1:16" x14ac:dyDescent="0.3">
      <c r="A532">
        <v>1018</v>
      </c>
      <c r="B532" s="2">
        <v>45098</v>
      </c>
      <c r="C532" s="1" t="s">
        <v>12</v>
      </c>
      <c r="D532" s="1" t="s">
        <v>30</v>
      </c>
      <c r="E532" s="1" t="s">
        <v>14</v>
      </c>
      <c r="F532" s="1" t="s">
        <v>15</v>
      </c>
      <c r="G532" s="1" t="s">
        <v>25</v>
      </c>
      <c r="H532" s="1" t="s">
        <v>17</v>
      </c>
      <c r="I532" s="4">
        <v>1006.14</v>
      </c>
      <c r="J532" s="4">
        <v>1043.45</v>
      </c>
      <c r="K532">
        <v>28</v>
      </c>
      <c r="L532" s="3">
        <v>0.15</v>
      </c>
      <c r="M532" s="4">
        <v>28171.919999999998</v>
      </c>
      <c r="N532" s="4">
        <v>29212.400000000001</v>
      </c>
      <c r="O532" s="4">
        <v>1040.48</v>
      </c>
      <c r="P532" s="3">
        <v>3.5617751365858298E-2</v>
      </c>
    </row>
    <row r="533" spans="1:16" x14ac:dyDescent="0.3">
      <c r="A533">
        <v>1064</v>
      </c>
      <c r="B533" s="2">
        <v>45098</v>
      </c>
      <c r="C533" s="1" t="s">
        <v>23</v>
      </c>
      <c r="D533" s="1" t="s">
        <v>19</v>
      </c>
      <c r="E533" s="1" t="s">
        <v>28</v>
      </c>
      <c r="F533" s="1" t="s">
        <v>15</v>
      </c>
      <c r="G533" s="1" t="s">
        <v>25</v>
      </c>
      <c r="H533" s="1" t="s">
        <v>29</v>
      </c>
      <c r="I533" s="4">
        <v>984.53</v>
      </c>
      <c r="J533" s="4">
        <v>1138.49</v>
      </c>
      <c r="K533">
        <v>46</v>
      </c>
      <c r="L533" s="3">
        <v>0.04</v>
      </c>
      <c r="M533" s="4">
        <v>45288.38</v>
      </c>
      <c r="N533" s="4">
        <v>52368.7</v>
      </c>
      <c r="O533" s="4">
        <v>7080.32</v>
      </c>
      <c r="P533" s="3">
        <v>0.13520137028415799</v>
      </c>
    </row>
    <row r="534" spans="1:16" x14ac:dyDescent="0.3">
      <c r="A534">
        <v>1012</v>
      </c>
      <c r="B534" s="2">
        <v>45097</v>
      </c>
      <c r="C534" s="1" t="s">
        <v>26</v>
      </c>
      <c r="D534" s="1" t="s">
        <v>27</v>
      </c>
      <c r="E534" s="1" t="s">
        <v>14</v>
      </c>
      <c r="F534" s="1" t="s">
        <v>15</v>
      </c>
      <c r="G534" s="1" t="s">
        <v>25</v>
      </c>
      <c r="H534" s="1" t="s">
        <v>17</v>
      </c>
      <c r="I534" s="4">
        <v>325.75</v>
      </c>
      <c r="J534" s="4">
        <v>803.71</v>
      </c>
      <c r="K534">
        <v>47</v>
      </c>
      <c r="L534" s="3">
        <v>0.12</v>
      </c>
      <c r="M534" s="4">
        <v>15310.25</v>
      </c>
      <c r="N534" s="4">
        <v>37768.730000000003</v>
      </c>
      <c r="O534" s="4">
        <v>22458.48</v>
      </c>
      <c r="P534" s="3">
        <v>0.59463159073657001</v>
      </c>
    </row>
    <row r="535" spans="1:16" x14ac:dyDescent="0.3">
      <c r="A535">
        <v>1058</v>
      </c>
      <c r="B535" s="2">
        <v>45097</v>
      </c>
      <c r="C535" s="1" t="s">
        <v>12</v>
      </c>
      <c r="D535" s="1" t="s">
        <v>19</v>
      </c>
      <c r="E535" s="1" t="s">
        <v>14</v>
      </c>
      <c r="F535" s="1" t="s">
        <v>15</v>
      </c>
      <c r="G535" s="1" t="s">
        <v>21</v>
      </c>
      <c r="H535" s="1" t="s">
        <v>17</v>
      </c>
      <c r="I535" s="4">
        <v>2614.48</v>
      </c>
      <c r="J535" s="4">
        <v>3049.04</v>
      </c>
      <c r="K535">
        <v>48</v>
      </c>
      <c r="L535" s="3">
        <v>0.1</v>
      </c>
      <c r="M535" s="4">
        <v>125495.03999999999</v>
      </c>
      <c r="N535" s="4">
        <v>146349.12</v>
      </c>
      <c r="O535" s="4">
        <v>20854.080000000002</v>
      </c>
      <c r="P535" s="3">
        <v>0.142495424639383</v>
      </c>
    </row>
    <row r="536" spans="1:16" x14ac:dyDescent="0.3">
      <c r="A536">
        <v>1002</v>
      </c>
      <c r="B536" s="2">
        <v>45096</v>
      </c>
      <c r="C536" s="1" t="s">
        <v>12</v>
      </c>
      <c r="D536" s="1" t="s">
        <v>19</v>
      </c>
      <c r="E536" s="1" t="s">
        <v>22</v>
      </c>
      <c r="F536" s="1" t="s">
        <v>15</v>
      </c>
      <c r="G536" s="1" t="s">
        <v>21</v>
      </c>
      <c r="H536" s="1" t="s">
        <v>17</v>
      </c>
      <c r="I536" s="4">
        <v>117.63</v>
      </c>
      <c r="J536" s="4">
        <v>576.44000000000005</v>
      </c>
      <c r="K536">
        <v>18</v>
      </c>
      <c r="L536" s="3">
        <v>0.18</v>
      </c>
      <c r="M536" s="4">
        <v>2117.34</v>
      </c>
      <c r="N536" s="4">
        <v>10372.68</v>
      </c>
      <c r="O536" s="4">
        <v>8255.34</v>
      </c>
      <c r="P536" s="3">
        <v>0.79587339048346195</v>
      </c>
    </row>
    <row r="537" spans="1:16" x14ac:dyDescent="0.3">
      <c r="A537">
        <v>1029</v>
      </c>
      <c r="B537" s="2">
        <v>45096</v>
      </c>
      <c r="C537" s="1" t="s">
        <v>12</v>
      </c>
      <c r="D537" s="1" t="s">
        <v>27</v>
      </c>
      <c r="E537" s="1" t="s">
        <v>22</v>
      </c>
      <c r="F537" s="1" t="s">
        <v>15</v>
      </c>
      <c r="G537" s="1" t="s">
        <v>16</v>
      </c>
      <c r="H537" s="1" t="s">
        <v>17</v>
      </c>
      <c r="I537" s="4">
        <v>3196.38</v>
      </c>
      <c r="J537" s="4">
        <v>3596.64</v>
      </c>
      <c r="K537">
        <v>27</v>
      </c>
      <c r="L537" s="3">
        <v>0.01</v>
      </c>
      <c r="M537" s="4">
        <v>86302.26</v>
      </c>
      <c r="N537" s="4">
        <v>97109.01</v>
      </c>
      <c r="O537" s="4">
        <v>10806.75</v>
      </c>
      <c r="P537" s="3">
        <v>0.111284730428206</v>
      </c>
    </row>
    <row r="538" spans="1:16" x14ac:dyDescent="0.3">
      <c r="A538">
        <v>1045</v>
      </c>
      <c r="B538" s="2">
        <v>45096</v>
      </c>
      <c r="C538" s="1" t="s">
        <v>18</v>
      </c>
      <c r="D538" s="1" t="s">
        <v>30</v>
      </c>
      <c r="E538" s="1" t="s">
        <v>28</v>
      </c>
      <c r="F538" s="1" t="s">
        <v>20</v>
      </c>
      <c r="G538" s="1" t="s">
        <v>21</v>
      </c>
      <c r="H538" s="1" t="s">
        <v>17</v>
      </c>
      <c r="I538" s="4">
        <v>3835.64</v>
      </c>
      <c r="J538" s="4">
        <v>4076.77</v>
      </c>
      <c r="K538">
        <v>36</v>
      </c>
      <c r="L538" s="3">
        <v>0.1</v>
      </c>
      <c r="M538" s="4">
        <v>138083.04</v>
      </c>
      <c r="N538" s="4">
        <v>146760.12</v>
      </c>
      <c r="O538" s="4">
        <v>8677.08</v>
      </c>
      <c r="P538" s="3">
        <v>5.9124236202586902E-2</v>
      </c>
    </row>
    <row r="539" spans="1:16" x14ac:dyDescent="0.3">
      <c r="A539">
        <v>1038</v>
      </c>
      <c r="B539" s="2">
        <v>45095</v>
      </c>
      <c r="C539" s="1" t="s">
        <v>12</v>
      </c>
      <c r="D539" s="1" t="s">
        <v>19</v>
      </c>
      <c r="E539" s="1" t="s">
        <v>14</v>
      </c>
      <c r="F539" s="1" t="s">
        <v>15</v>
      </c>
      <c r="G539" s="1" t="s">
        <v>25</v>
      </c>
      <c r="H539" s="1" t="s">
        <v>29</v>
      </c>
      <c r="I539" s="4">
        <v>1543.91</v>
      </c>
      <c r="J539" s="4">
        <v>1862.88</v>
      </c>
      <c r="K539">
        <v>24</v>
      </c>
      <c r="L539" s="3">
        <v>0.09</v>
      </c>
      <c r="M539" s="4">
        <v>37053.839999999997</v>
      </c>
      <c r="N539" s="4">
        <v>44706.96</v>
      </c>
      <c r="O539" s="4">
        <v>7653.12</v>
      </c>
      <c r="P539" s="3">
        <v>0.17118408408892</v>
      </c>
    </row>
    <row r="540" spans="1:16" x14ac:dyDescent="0.3">
      <c r="A540">
        <v>1044</v>
      </c>
      <c r="B540" s="2">
        <v>45094</v>
      </c>
      <c r="C540" s="1" t="s">
        <v>31</v>
      </c>
      <c r="D540" s="1" t="s">
        <v>30</v>
      </c>
      <c r="E540" s="1" t="s">
        <v>24</v>
      </c>
      <c r="F540" s="1" t="s">
        <v>20</v>
      </c>
      <c r="G540" s="1" t="s">
        <v>21</v>
      </c>
      <c r="H540" s="1" t="s">
        <v>17</v>
      </c>
      <c r="I540" s="4">
        <v>2388.9499999999998</v>
      </c>
      <c r="J540" s="4">
        <v>2742.97</v>
      </c>
      <c r="K540">
        <v>6</v>
      </c>
      <c r="L540" s="3">
        <v>0.25</v>
      </c>
      <c r="M540" s="4">
        <v>14333.7</v>
      </c>
      <c r="N540" s="4">
        <v>16456.32</v>
      </c>
      <c r="O540" s="4">
        <v>2122.62</v>
      </c>
      <c r="P540" s="3">
        <v>0.128985095088088</v>
      </c>
    </row>
    <row r="541" spans="1:16" x14ac:dyDescent="0.3">
      <c r="A541">
        <v>1092</v>
      </c>
      <c r="B541" s="2">
        <v>45094</v>
      </c>
      <c r="C541" s="1" t="s">
        <v>18</v>
      </c>
      <c r="D541" s="1" t="s">
        <v>13</v>
      </c>
      <c r="E541" s="1" t="s">
        <v>14</v>
      </c>
      <c r="F541" s="1" t="s">
        <v>15</v>
      </c>
      <c r="G541" s="1" t="s">
        <v>21</v>
      </c>
      <c r="H541" s="1" t="s">
        <v>17</v>
      </c>
      <c r="I541" s="4">
        <v>2792.2</v>
      </c>
      <c r="J541" s="4">
        <v>3254.55</v>
      </c>
      <c r="K541">
        <v>21</v>
      </c>
      <c r="L541" s="3">
        <v>0.02</v>
      </c>
      <c r="M541" s="4">
        <v>58636.2</v>
      </c>
      <c r="N541" s="4">
        <v>68345.13</v>
      </c>
      <c r="O541" s="4">
        <v>9708.93</v>
      </c>
      <c r="P541" s="3">
        <v>0.142057378484758</v>
      </c>
    </row>
    <row r="542" spans="1:16" x14ac:dyDescent="0.3">
      <c r="A542">
        <v>1092</v>
      </c>
      <c r="B542" s="2">
        <v>45094</v>
      </c>
      <c r="C542" s="1" t="s">
        <v>26</v>
      </c>
      <c r="D542" s="1" t="s">
        <v>13</v>
      </c>
      <c r="E542" s="1" t="s">
        <v>24</v>
      </c>
      <c r="F542" s="1" t="s">
        <v>20</v>
      </c>
      <c r="G542" s="1" t="s">
        <v>25</v>
      </c>
      <c r="H542" s="1" t="s">
        <v>17</v>
      </c>
      <c r="I542" s="4">
        <v>1447.45</v>
      </c>
      <c r="J542" s="4">
        <v>1703.02</v>
      </c>
      <c r="K542">
        <v>47</v>
      </c>
      <c r="L542" s="3">
        <v>0.12</v>
      </c>
      <c r="M542" s="4">
        <v>68030.149999999994</v>
      </c>
      <c r="N542" s="4">
        <v>80036.3</v>
      </c>
      <c r="O542" s="4">
        <v>12006.15</v>
      </c>
      <c r="P542" s="3">
        <v>0.15000880850314199</v>
      </c>
    </row>
    <row r="543" spans="1:16" x14ac:dyDescent="0.3">
      <c r="A543">
        <v>1004</v>
      </c>
      <c r="B543" s="2">
        <v>45092</v>
      </c>
      <c r="C543" s="1" t="s">
        <v>26</v>
      </c>
      <c r="D543" s="1" t="s">
        <v>13</v>
      </c>
      <c r="E543" s="1" t="s">
        <v>24</v>
      </c>
      <c r="F543" s="1" t="s">
        <v>15</v>
      </c>
      <c r="G543" s="1" t="s">
        <v>16</v>
      </c>
      <c r="H543" s="1" t="s">
        <v>17</v>
      </c>
      <c r="I543" s="4">
        <v>3087.73</v>
      </c>
      <c r="J543" s="4">
        <v>3263.96</v>
      </c>
      <c r="K543">
        <v>13</v>
      </c>
      <c r="L543" s="3">
        <v>0.24</v>
      </c>
      <c r="M543" s="4">
        <v>40140.49</v>
      </c>
      <c r="N543" s="4">
        <v>42428.36</v>
      </c>
      <c r="O543" s="4">
        <v>2287.87</v>
      </c>
      <c r="P543" s="3">
        <v>5.3923130660718403E-2</v>
      </c>
    </row>
    <row r="544" spans="1:16" x14ac:dyDescent="0.3">
      <c r="A544">
        <v>1038</v>
      </c>
      <c r="B544" s="2">
        <v>45092</v>
      </c>
      <c r="C544" s="1" t="s">
        <v>26</v>
      </c>
      <c r="D544" s="1" t="s">
        <v>19</v>
      </c>
      <c r="E544" s="1" t="s">
        <v>22</v>
      </c>
      <c r="F544" s="1" t="s">
        <v>15</v>
      </c>
      <c r="G544" s="1" t="s">
        <v>16</v>
      </c>
      <c r="H544" s="1" t="s">
        <v>17</v>
      </c>
      <c r="I544" s="4">
        <v>1089.0899999999999</v>
      </c>
      <c r="J544" s="4">
        <v>1355.44</v>
      </c>
      <c r="K544">
        <v>42</v>
      </c>
      <c r="L544" s="3">
        <v>0.06</v>
      </c>
      <c r="M544" s="4">
        <v>45741.78</v>
      </c>
      <c r="N544" s="4">
        <v>56925.96</v>
      </c>
      <c r="O544" s="4">
        <v>11184.18</v>
      </c>
      <c r="P544" s="3">
        <v>0.196468886954212</v>
      </c>
    </row>
    <row r="545" spans="1:16" x14ac:dyDescent="0.3">
      <c r="A545">
        <v>1072</v>
      </c>
      <c r="B545" s="2">
        <v>45092</v>
      </c>
      <c r="C545" s="1" t="s">
        <v>18</v>
      </c>
      <c r="D545" s="1" t="s">
        <v>30</v>
      </c>
      <c r="E545" s="1" t="s">
        <v>28</v>
      </c>
      <c r="F545" s="1" t="s">
        <v>20</v>
      </c>
      <c r="G545" s="1" t="s">
        <v>21</v>
      </c>
      <c r="H545" s="1" t="s">
        <v>17</v>
      </c>
      <c r="I545" s="4">
        <v>4349.3599999999997</v>
      </c>
      <c r="J545" s="4">
        <v>4645.17</v>
      </c>
      <c r="K545">
        <v>35</v>
      </c>
      <c r="L545" s="3">
        <v>0.18</v>
      </c>
      <c r="M545" s="4">
        <v>152227.6</v>
      </c>
      <c r="N545" s="4">
        <v>162574.65</v>
      </c>
      <c r="O545" s="4">
        <v>10347.049999999999</v>
      </c>
      <c r="P545" s="3">
        <v>6.3644916350734895E-2</v>
      </c>
    </row>
    <row r="546" spans="1:16" x14ac:dyDescent="0.3">
      <c r="A546">
        <v>1075</v>
      </c>
      <c r="B546" s="2">
        <v>45092</v>
      </c>
      <c r="C546" s="1" t="s">
        <v>12</v>
      </c>
      <c r="D546" s="1" t="s">
        <v>30</v>
      </c>
      <c r="E546" s="1" t="s">
        <v>24</v>
      </c>
      <c r="F546" s="1" t="s">
        <v>15</v>
      </c>
      <c r="G546" s="1" t="s">
        <v>21</v>
      </c>
      <c r="H546" s="1" t="s">
        <v>29</v>
      </c>
      <c r="I546" s="4">
        <v>1749.34</v>
      </c>
      <c r="J546" s="4">
        <v>1935.25</v>
      </c>
      <c r="K546">
        <v>26</v>
      </c>
      <c r="L546" s="3">
        <v>0.14000000000000001</v>
      </c>
      <c r="M546" s="4">
        <v>45482.84</v>
      </c>
      <c r="N546" s="4">
        <v>50312.86</v>
      </c>
      <c r="O546" s="4">
        <v>4830.0200000000004</v>
      </c>
      <c r="P546" s="3">
        <v>9.5999710610766301E-2</v>
      </c>
    </row>
    <row r="547" spans="1:16" x14ac:dyDescent="0.3">
      <c r="A547">
        <v>1007</v>
      </c>
      <c r="B547" s="2">
        <v>45091</v>
      </c>
      <c r="C547" s="1" t="s">
        <v>26</v>
      </c>
      <c r="D547" s="1" t="s">
        <v>30</v>
      </c>
      <c r="E547" s="1" t="s">
        <v>14</v>
      </c>
      <c r="F547" s="1" t="s">
        <v>20</v>
      </c>
      <c r="G547" s="1" t="s">
        <v>21</v>
      </c>
      <c r="H547" s="1" t="s">
        <v>17</v>
      </c>
      <c r="I547" s="4">
        <v>1481.76</v>
      </c>
      <c r="J547" s="4">
        <v>1668.95</v>
      </c>
      <c r="K547">
        <v>9</v>
      </c>
      <c r="L547" s="3">
        <v>0.12</v>
      </c>
      <c r="M547" s="4">
        <v>13335.84</v>
      </c>
      <c r="N547" s="4">
        <v>15019.47</v>
      </c>
      <c r="O547" s="4">
        <v>1683.63</v>
      </c>
      <c r="P547" s="3">
        <v>0.112096498744629</v>
      </c>
    </row>
    <row r="548" spans="1:16" x14ac:dyDescent="0.3">
      <c r="A548">
        <v>1008</v>
      </c>
      <c r="B548" s="2">
        <v>45091</v>
      </c>
      <c r="C548" s="1" t="s">
        <v>12</v>
      </c>
      <c r="D548" s="1" t="s">
        <v>30</v>
      </c>
      <c r="E548" s="1" t="s">
        <v>14</v>
      </c>
      <c r="F548" s="1" t="s">
        <v>15</v>
      </c>
      <c r="G548" s="1" t="s">
        <v>21</v>
      </c>
      <c r="H548" s="1" t="s">
        <v>29</v>
      </c>
      <c r="I548" s="4">
        <v>1394.17</v>
      </c>
      <c r="J548" s="4">
        <v>1891.02</v>
      </c>
      <c r="K548">
        <v>24</v>
      </c>
      <c r="L548" s="3">
        <v>0.21</v>
      </c>
      <c r="M548" s="4">
        <v>33460.080000000002</v>
      </c>
      <c r="N548" s="4">
        <v>45379.44</v>
      </c>
      <c r="O548" s="4">
        <v>11919.36</v>
      </c>
      <c r="P548" s="3">
        <v>0.26265991823610002</v>
      </c>
    </row>
    <row r="549" spans="1:16" x14ac:dyDescent="0.3">
      <c r="A549">
        <v>1011</v>
      </c>
      <c r="B549" s="2">
        <v>45091</v>
      </c>
      <c r="C549" s="1" t="s">
        <v>26</v>
      </c>
      <c r="D549" s="1" t="s">
        <v>27</v>
      </c>
      <c r="E549" s="1" t="s">
        <v>24</v>
      </c>
      <c r="F549" s="1" t="s">
        <v>15</v>
      </c>
      <c r="G549" s="1" t="s">
        <v>25</v>
      </c>
      <c r="H549" s="1" t="s">
        <v>29</v>
      </c>
      <c r="I549" s="4">
        <v>4456.67</v>
      </c>
      <c r="J549" s="4">
        <v>4642.46</v>
      </c>
      <c r="K549">
        <v>38</v>
      </c>
      <c r="L549" s="3">
        <v>0.06</v>
      </c>
      <c r="M549" s="4">
        <v>169353.46</v>
      </c>
      <c r="N549" s="4">
        <v>176411.2</v>
      </c>
      <c r="O549" s="4">
        <v>7057.74</v>
      </c>
      <c r="P549" s="3">
        <v>4.0007323798035503E-2</v>
      </c>
    </row>
    <row r="550" spans="1:16" x14ac:dyDescent="0.3">
      <c r="A550">
        <v>1030</v>
      </c>
      <c r="B550" s="2">
        <v>45090</v>
      </c>
      <c r="C550" s="1" t="s">
        <v>31</v>
      </c>
      <c r="D550" s="1" t="s">
        <v>19</v>
      </c>
      <c r="E550" s="1" t="s">
        <v>14</v>
      </c>
      <c r="F550" s="1" t="s">
        <v>15</v>
      </c>
      <c r="G550" s="1" t="s">
        <v>21</v>
      </c>
      <c r="H550" s="1" t="s">
        <v>29</v>
      </c>
      <c r="I550" s="4">
        <v>3932.14</v>
      </c>
      <c r="J550" s="4">
        <v>4082.76</v>
      </c>
      <c r="K550">
        <v>5</v>
      </c>
      <c r="L550" s="3">
        <v>0.26</v>
      </c>
      <c r="M550" s="4">
        <v>19660.7</v>
      </c>
      <c r="N550" s="4">
        <v>20412.5</v>
      </c>
      <c r="O550" s="4">
        <v>751.8</v>
      </c>
      <c r="P550" s="3">
        <v>3.6830373545621603E-2</v>
      </c>
    </row>
    <row r="551" spans="1:16" x14ac:dyDescent="0.3">
      <c r="A551">
        <v>1097</v>
      </c>
      <c r="B551" s="2">
        <v>45090</v>
      </c>
      <c r="C551" s="1" t="s">
        <v>31</v>
      </c>
      <c r="D551" s="1" t="s">
        <v>13</v>
      </c>
      <c r="E551" s="1" t="s">
        <v>24</v>
      </c>
      <c r="F551" s="1" t="s">
        <v>20</v>
      </c>
      <c r="G551" s="1" t="s">
        <v>21</v>
      </c>
      <c r="H551" s="1" t="s">
        <v>29</v>
      </c>
      <c r="I551" s="4">
        <v>2162.9499999999998</v>
      </c>
      <c r="J551" s="4">
        <v>2191.19</v>
      </c>
      <c r="K551">
        <v>10</v>
      </c>
      <c r="L551" s="3">
        <v>0.2</v>
      </c>
      <c r="M551" s="4">
        <v>21629.5</v>
      </c>
      <c r="N551" s="4">
        <v>21909.9</v>
      </c>
      <c r="O551" s="4">
        <v>280.39999999999998</v>
      </c>
      <c r="P551" s="3">
        <v>1.2797867630614501E-2</v>
      </c>
    </row>
    <row r="552" spans="1:16" x14ac:dyDescent="0.3">
      <c r="A552">
        <v>1008</v>
      </c>
      <c r="B552" s="2">
        <v>45089</v>
      </c>
      <c r="C552" s="1" t="s">
        <v>26</v>
      </c>
      <c r="D552" s="1" t="s">
        <v>13</v>
      </c>
      <c r="E552" s="1" t="s">
        <v>22</v>
      </c>
      <c r="F552" s="1" t="s">
        <v>15</v>
      </c>
      <c r="G552" s="1" t="s">
        <v>25</v>
      </c>
      <c r="H552" s="1" t="s">
        <v>29</v>
      </c>
      <c r="I552" s="4">
        <v>4298.12</v>
      </c>
      <c r="J552" s="4">
        <v>4446.8999999999996</v>
      </c>
      <c r="K552">
        <v>32</v>
      </c>
      <c r="L552" s="3">
        <v>0.1</v>
      </c>
      <c r="M552" s="4">
        <v>137539.84</v>
      </c>
      <c r="N552" s="4">
        <v>142297.60000000001</v>
      </c>
      <c r="O552" s="4">
        <v>4757.76</v>
      </c>
      <c r="P552" s="3">
        <v>3.3435279301970003E-2</v>
      </c>
    </row>
    <row r="553" spans="1:16" x14ac:dyDescent="0.3">
      <c r="A553">
        <v>1078</v>
      </c>
      <c r="B553" s="2">
        <v>45089</v>
      </c>
      <c r="C553" s="1" t="s">
        <v>31</v>
      </c>
      <c r="D553" s="1" t="s">
        <v>27</v>
      </c>
      <c r="E553" s="1" t="s">
        <v>28</v>
      </c>
      <c r="F553" s="1" t="s">
        <v>20</v>
      </c>
      <c r="G553" s="1" t="s">
        <v>21</v>
      </c>
      <c r="H553" s="1" t="s">
        <v>17</v>
      </c>
      <c r="I553" s="4">
        <v>3177.81</v>
      </c>
      <c r="J553" s="4">
        <v>3222.65</v>
      </c>
      <c r="K553">
        <v>29</v>
      </c>
      <c r="L553" s="3">
        <v>0.08</v>
      </c>
      <c r="M553" s="4">
        <v>92156.49</v>
      </c>
      <c r="N553" s="4">
        <v>93454.53</v>
      </c>
      <c r="O553" s="4">
        <v>1298.04</v>
      </c>
      <c r="P553" s="3">
        <v>1.38895353708376E-2</v>
      </c>
    </row>
    <row r="554" spans="1:16" x14ac:dyDescent="0.3">
      <c r="A554">
        <v>1082</v>
      </c>
      <c r="B554" s="2">
        <v>45088</v>
      </c>
      <c r="C554" s="1" t="s">
        <v>26</v>
      </c>
      <c r="D554" s="1" t="s">
        <v>30</v>
      </c>
      <c r="E554" s="1" t="s">
        <v>24</v>
      </c>
      <c r="F554" s="1" t="s">
        <v>20</v>
      </c>
      <c r="G554" s="1" t="s">
        <v>16</v>
      </c>
      <c r="H554" s="1" t="s">
        <v>17</v>
      </c>
      <c r="I554" s="4">
        <v>890.31</v>
      </c>
      <c r="J554" s="4">
        <v>1159.06</v>
      </c>
      <c r="K554">
        <v>17</v>
      </c>
      <c r="L554" s="3">
        <v>0.06</v>
      </c>
      <c r="M554" s="4">
        <v>15135.27</v>
      </c>
      <c r="N554" s="4">
        <v>19703</v>
      </c>
      <c r="O554" s="4">
        <v>4567.7299999999996</v>
      </c>
      <c r="P554" s="3">
        <v>0.231829163071613</v>
      </c>
    </row>
    <row r="555" spans="1:16" x14ac:dyDescent="0.3">
      <c r="A555">
        <v>1085</v>
      </c>
      <c r="B555" s="2">
        <v>45088</v>
      </c>
      <c r="C555" s="1" t="s">
        <v>18</v>
      </c>
      <c r="D555" s="1" t="s">
        <v>13</v>
      </c>
      <c r="E555" s="1" t="s">
        <v>22</v>
      </c>
      <c r="F555" s="1" t="s">
        <v>20</v>
      </c>
      <c r="G555" s="1" t="s">
        <v>25</v>
      </c>
      <c r="H555" s="1" t="s">
        <v>29</v>
      </c>
      <c r="I555" s="4">
        <v>3048.48</v>
      </c>
      <c r="J555" s="4">
        <v>3198.54</v>
      </c>
      <c r="K555">
        <v>8</v>
      </c>
      <c r="L555" s="3">
        <v>0.03</v>
      </c>
      <c r="M555" s="4">
        <v>24387.84</v>
      </c>
      <c r="N555" s="4">
        <v>25588.080000000002</v>
      </c>
      <c r="O555" s="4">
        <v>1200.24</v>
      </c>
      <c r="P555" s="3">
        <v>4.6906215706688403E-2</v>
      </c>
    </row>
    <row r="556" spans="1:16" x14ac:dyDescent="0.3">
      <c r="A556">
        <v>1028</v>
      </c>
      <c r="B556" s="2">
        <v>45087</v>
      </c>
      <c r="C556" s="1" t="s">
        <v>26</v>
      </c>
      <c r="D556" s="1" t="s">
        <v>30</v>
      </c>
      <c r="E556" s="1" t="s">
        <v>24</v>
      </c>
      <c r="F556" s="1" t="s">
        <v>20</v>
      </c>
      <c r="G556" s="1" t="s">
        <v>25</v>
      </c>
      <c r="H556" s="1" t="s">
        <v>29</v>
      </c>
      <c r="I556" s="4">
        <v>3146.12</v>
      </c>
      <c r="J556" s="4">
        <v>3255.53</v>
      </c>
      <c r="K556">
        <v>2</v>
      </c>
      <c r="L556" s="3">
        <v>0.06</v>
      </c>
      <c r="M556" s="4">
        <v>6292.24</v>
      </c>
      <c r="N556" s="4">
        <v>6510.94</v>
      </c>
      <c r="O556" s="4">
        <v>218.7</v>
      </c>
      <c r="P556" s="3">
        <v>3.3589619931991402E-2</v>
      </c>
    </row>
    <row r="557" spans="1:16" x14ac:dyDescent="0.3">
      <c r="A557">
        <v>1029</v>
      </c>
      <c r="B557" s="2">
        <v>45087</v>
      </c>
      <c r="C557" s="1" t="s">
        <v>12</v>
      </c>
      <c r="D557" s="1" t="s">
        <v>13</v>
      </c>
      <c r="E557" s="1" t="s">
        <v>14</v>
      </c>
      <c r="F557" s="1" t="s">
        <v>20</v>
      </c>
      <c r="G557" s="1" t="s">
        <v>21</v>
      </c>
      <c r="H557" s="1" t="s">
        <v>17</v>
      </c>
      <c r="I557" s="4">
        <v>498.27</v>
      </c>
      <c r="J557" s="4">
        <v>634.16</v>
      </c>
      <c r="K557">
        <v>15</v>
      </c>
      <c r="L557" s="3">
        <v>0.11</v>
      </c>
      <c r="M557" s="4">
        <v>7474.05</v>
      </c>
      <c r="N557" s="4">
        <v>9510.75</v>
      </c>
      <c r="O557" s="4">
        <v>2036.7</v>
      </c>
      <c r="P557" s="3">
        <v>0.214147149278448</v>
      </c>
    </row>
    <row r="558" spans="1:16" x14ac:dyDescent="0.3">
      <c r="A558">
        <v>1053</v>
      </c>
      <c r="B558" s="2">
        <v>45087</v>
      </c>
      <c r="C558" s="1" t="s">
        <v>31</v>
      </c>
      <c r="D558" s="1" t="s">
        <v>13</v>
      </c>
      <c r="E558" s="1" t="s">
        <v>24</v>
      </c>
      <c r="F558" s="1" t="s">
        <v>20</v>
      </c>
      <c r="G558" s="1" t="s">
        <v>25</v>
      </c>
      <c r="H558" s="1" t="s">
        <v>29</v>
      </c>
      <c r="I558" s="4">
        <v>4643.67</v>
      </c>
      <c r="J558" s="4">
        <v>4829.5200000000004</v>
      </c>
      <c r="K558">
        <v>39</v>
      </c>
      <c r="L558" s="3">
        <v>0.17</v>
      </c>
      <c r="M558" s="4">
        <v>181103.13</v>
      </c>
      <c r="N558" s="4">
        <v>188344.65</v>
      </c>
      <c r="O558" s="4">
        <v>7241.52</v>
      </c>
      <c r="P558" s="3">
        <v>3.8448238375764901E-2</v>
      </c>
    </row>
    <row r="559" spans="1:16" x14ac:dyDescent="0.3">
      <c r="A559">
        <v>1054</v>
      </c>
      <c r="B559" s="2">
        <v>45087</v>
      </c>
      <c r="C559" s="1" t="s">
        <v>23</v>
      </c>
      <c r="D559" s="1" t="s">
        <v>27</v>
      </c>
      <c r="E559" s="1" t="s">
        <v>24</v>
      </c>
      <c r="F559" s="1" t="s">
        <v>15</v>
      </c>
      <c r="G559" s="1" t="s">
        <v>25</v>
      </c>
      <c r="H559" s="1" t="s">
        <v>29</v>
      </c>
      <c r="I559" s="4">
        <v>4668.1400000000003</v>
      </c>
      <c r="J559" s="4">
        <v>5040.22</v>
      </c>
      <c r="K559">
        <v>21</v>
      </c>
      <c r="L559" s="3">
        <v>0.05</v>
      </c>
      <c r="M559" s="4">
        <v>98030.94</v>
      </c>
      <c r="N559" s="4">
        <v>105843.57</v>
      </c>
      <c r="O559" s="4">
        <v>7812.63</v>
      </c>
      <c r="P559" s="3">
        <v>7.3812986466726294E-2</v>
      </c>
    </row>
    <row r="560" spans="1:16" x14ac:dyDescent="0.3">
      <c r="A560">
        <v>1096</v>
      </c>
      <c r="B560" s="2">
        <v>45087</v>
      </c>
      <c r="C560" s="1" t="s">
        <v>31</v>
      </c>
      <c r="D560" s="1" t="s">
        <v>27</v>
      </c>
      <c r="E560" s="1" t="s">
        <v>24</v>
      </c>
      <c r="F560" s="1" t="s">
        <v>15</v>
      </c>
      <c r="G560" s="1" t="s">
        <v>21</v>
      </c>
      <c r="H560" s="1" t="s">
        <v>17</v>
      </c>
      <c r="I560" s="4">
        <v>252.62</v>
      </c>
      <c r="J560" s="4">
        <v>742</v>
      </c>
      <c r="K560">
        <v>6</v>
      </c>
      <c r="L560" s="3">
        <v>0.22</v>
      </c>
      <c r="M560" s="4">
        <v>1515.72</v>
      </c>
      <c r="N560" s="4">
        <v>4450.68</v>
      </c>
      <c r="O560" s="4">
        <v>2934.96</v>
      </c>
      <c r="P560" s="3">
        <v>0.65944080455121401</v>
      </c>
    </row>
    <row r="561" spans="1:16" x14ac:dyDescent="0.3">
      <c r="A561">
        <v>1017</v>
      </c>
      <c r="B561" s="2">
        <v>45086</v>
      </c>
      <c r="C561" s="1" t="s">
        <v>31</v>
      </c>
      <c r="D561" s="1" t="s">
        <v>13</v>
      </c>
      <c r="E561" s="1" t="s">
        <v>24</v>
      </c>
      <c r="F561" s="1" t="s">
        <v>15</v>
      </c>
      <c r="G561" s="1" t="s">
        <v>16</v>
      </c>
      <c r="H561" s="1" t="s">
        <v>29</v>
      </c>
      <c r="I561" s="4">
        <v>4480.63</v>
      </c>
      <c r="J561" s="4">
        <v>4884.12</v>
      </c>
      <c r="K561">
        <v>35</v>
      </c>
      <c r="L561" s="3">
        <v>0.04</v>
      </c>
      <c r="M561" s="4">
        <v>156822.04999999999</v>
      </c>
      <c r="N561" s="4">
        <v>170942.8</v>
      </c>
      <c r="O561" s="4">
        <v>14120.75</v>
      </c>
      <c r="P561" s="3">
        <v>8.2605117033299993E-2</v>
      </c>
    </row>
    <row r="562" spans="1:16" x14ac:dyDescent="0.3">
      <c r="A562">
        <v>1047</v>
      </c>
      <c r="B562" s="2">
        <v>45086</v>
      </c>
      <c r="C562" s="1" t="s">
        <v>18</v>
      </c>
      <c r="D562" s="1" t="s">
        <v>13</v>
      </c>
      <c r="E562" s="1" t="s">
        <v>14</v>
      </c>
      <c r="F562" s="1" t="s">
        <v>20</v>
      </c>
      <c r="G562" s="1" t="s">
        <v>16</v>
      </c>
      <c r="H562" s="1" t="s">
        <v>29</v>
      </c>
      <c r="I562" s="4">
        <v>560.91999999999996</v>
      </c>
      <c r="J562" s="4">
        <v>1024.31</v>
      </c>
      <c r="K562">
        <v>18</v>
      </c>
      <c r="L562" s="3">
        <v>0.26</v>
      </c>
      <c r="M562" s="4">
        <v>10096.56</v>
      </c>
      <c r="N562" s="4">
        <v>18432.900000000001</v>
      </c>
      <c r="O562" s="4">
        <v>8336.34</v>
      </c>
      <c r="P562" s="3">
        <v>0.45225330794394802</v>
      </c>
    </row>
    <row r="563" spans="1:16" x14ac:dyDescent="0.3">
      <c r="A563">
        <v>1093</v>
      </c>
      <c r="B563" s="2">
        <v>45086</v>
      </c>
      <c r="C563" s="1" t="s">
        <v>23</v>
      </c>
      <c r="D563" s="1" t="s">
        <v>27</v>
      </c>
      <c r="E563" s="1" t="s">
        <v>22</v>
      </c>
      <c r="F563" s="1" t="s">
        <v>20</v>
      </c>
      <c r="G563" s="1" t="s">
        <v>21</v>
      </c>
      <c r="H563" s="1" t="s">
        <v>29</v>
      </c>
      <c r="I563" s="4">
        <v>86.59</v>
      </c>
      <c r="J563" s="4">
        <v>390.89</v>
      </c>
      <c r="K563">
        <v>38</v>
      </c>
      <c r="L563" s="3">
        <v>0.25</v>
      </c>
      <c r="M563" s="4">
        <v>3290.42</v>
      </c>
      <c r="N563" s="4">
        <v>14844.32</v>
      </c>
      <c r="O563" s="4">
        <v>11553.9</v>
      </c>
      <c r="P563" s="3">
        <v>0.77833811181650603</v>
      </c>
    </row>
    <row r="564" spans="1:16" x14ac:dyDescent="0.3">
      <c r="A564">
        <v>1012</v>
      </c>
      <c r="B564" s="2">
        <v>45085</v>
      </c>
      <c r="C564" s="1" t="s">
        <v>23</v>
      </c>
      <c r="D564" s="1" t="s">
        <v>13</v>
      </c>
      <c r="E564" s="1" t="s">
        <v>24</v>
      </c>
      <c r="F564" s="1" t="s">
        <v>15</v>
      </c>
      <c r="G564" s="1" t="s">
        <v>25</v>
      </c>
      <c r="H564" s="1" t="s">
        <v>29</v>
      </c>
      <c r="I564" s="4">
        <v>3457.28</v>
      </c>
      <c r="J564" s="4">
        <v>3598.72</v>
      </c>
      <c r="K564">
        <v>19</v>
      </c>
      <c r="L564" s="3">
        <v>0.27</v>
      </c>
      <c r="M564" s="4">
        <v>65688.320000000007</v>
      </c>
      <c r="N564" s="4">
        <v>68370.55</v>
      </c>
      <c r="O564" s="4">
        <v>2682.23</v>
      </c>
      <c r="P564" s="3">
        <v>3.9230779919131799E-2</v>
      </c>
    </row>
    <row r="565" spans="1:16" x14ac:dyDescent="0.3">
      <c r="A565">
        <v>1032</v>
      </c>
      <c r="B565" s="2">
        <v>45085</v>
      </c>
      <c r="C565" s="1" t="s">
        <v>12</v>
      </c>
      <c r="D565" s="1" t="s">
        <v>19</v>
      </c>
      <c r="E565" s="1" t="s">
        <v>28</v>
      </c>
      <c r="F565" s="1" t="s">
        <v>20</v>
      </c>
      <c r="G565" s="1" t="s">
        <v>21</v>
      </c>
      <c r="H565" s="1" t="s">
        <v>29</v>
      </c>
      <c r="I565" s="4">
        <v>4812.41</v>
      </c>
      <c r="J565" s="4">
        <v>5088</v>
      </c>
      <c r="K565">
        <v>49</v>
      </c>
      <c r="L565" s="3">
        <v>0.09</v>
      </c>
      <c r="M565" s="4">
        <v>235808.09</v>
      </c>
      <c r="N565" s="4">
        <v>249307.59</v>
      </c>
      <c r="O565" s="4">
        <v>13499.5</v>
      </c>
      <c r="P565" s="3">
        <v>5.4147970384696299E-2</v>
      </c>
    </row>
    <row r="566" spans="1:16" x14ac:dyDescent="0.3">
      <c r="A566">
        <v>1057</v>
      </c>
      <c r="B566" s="2">
        <v>45085</v>
      </c>
      <c r="C566" s="1" t="s">
        <v>31</v>
      </c>
      <c r="D566" s="1" t="s">
        <v>13</v>
      </c>
      <c r="E566" s="1" t="s">
        <v>24</v>
      </c>
      <c r="F566" s="1" t="s">
        <v>15</v>
      </c>
      <c r="G566" s="1" t="s">
        <v>16</v>
      </c>
      <c r="H566" s="1" t="s">
        <v>17</v>
      </c>
      <c r="I566" s="4">
        <v>4567.3900000000003</v>
      </c>
      <c r="J566" s="4">
        <v>4958.78</v>
      </c>
      <c r="K566">
        <v>43</v>
      </c>
      <c r="L566" s="3">
        <v>0.04</v>
      </c>
      <c r="M566" s="4">
        <v>196397.77</v>
      </c>
      <c r="N566" s="4">
        <v>213225.82</v>
      </c>
      <c r="O566" s="4">
        <v>16828.05</v>
      </c>
      <c r="P566" s="3">
        <v>7.8921258222855006E-2</v>
      </c>
    </row>
    <row r="567" spans="1:16" x14ac:dyDescent="0.3">
      <c r="A567">
        <v>1014</v>
      </c>
      <c r="B567" s="2">
        <v>45084</v>
      </c>
      <c r="C567" s="1" t="s">
        <v>26</v>
      </c>
      <c r="D567" s="1" t="s">
        <v>30</v>
      </c>
      <c r="E567" s="1" t="s">
        <v>28</v>
      </c>
      <c r="F567" s="1" t="s">
        <v>20</v>
      </c>
      <c r="G567" s="1" t="s">
        <v>16</v>
      </c>
      <c r="H567" s="1" t="s">
        <v>17</v>
      </c>
      <c r="I567" s="4">
        <v>2468.29</v>
      </c>
      <c r="J567" s="4">
        <v>2723.13</v>
      </c>
      <c r="K567">
        <v>3</v>
      </c>
      <c r="L567" s="3">
        <v>0.08</v>
      </c>
      <c r="M567" s="4">
        <v>7404.87</v>
      </c>
      <c r="N567" s="4">
        <v>8169.15</v>
      </c>
      <c r="O567" s="4">
        <v>764.28</v>
      </c>
      <c r="P567" s="3">
        <v>9.3556857200565599E-2</v>
      </c>
    </row>
    <row r="568" spans="1:16" x14ac:dyDescent="0.3">
      <c r="A568">
        <v>1037</v>
      </c>
      <c r="B568" s="2">
        <v>45084</v>
      </c>
      <c r="C568" s="1" t="s">
        <v>26</v>
      </c>
      <c r="D568" s="1" t="s">
        <v>27</v>
      </c>
      <c r="E568" s="1" t="s">
        <v>22</v>
      </c>
      <c r="F568" s="1" t="s">
        <v>15</v>
      </c>
      <c r="G568" s="1" t="s">
        <v>16</v>
      </c>
      <c r="H568" s="1" t="s">
        <v>17</v>
      </c>
      <c r="I568" s="4">
        <v>4721.7</v>
      </c>
      <c r="J568" s="4">
        <v>5017.58</v>
      </c>
      <c r="K568">
        <v>4</v>
      </c>
      <c r="L568" s="3">
        <v>0.24</v>
      </c>
      <c r="M568" s="4">
        <v>18886.8</v>
      </c>
      <c r="N568" s="4">
        <v>20069.36</v>
      </c>
      <c r="O568" s="4">
        <v>1182.56</v>
      </c>
      <c r="P568" s="3">
        <v>5.8923652772186003E-2</v>
      </c>
    </row>
    <row r="569" spans="1:16" x14ac:dyDescent="0.3">
      <c r="A569">
        <v>1085</v>
      </c>
      <c r="B569" s="2">
        <v>45084</v>
      </c>
      <c r="C569" s="1" t="s">
        <v>31</v>
      </c>
      <c r="D569" s="1" t="s">
        <v>13</v>
      </c>
      <c r="E569" s="1" t="s">
        <v>14</v>
      </c>
      <c r="F569" s="1" t="s">
        <v>20</v>
      </c>
      <c r="G569" s="1" t="s">
        <v>21</v>
      </c>
      <c r="H569" s="1" t="s">
        <v>17</v>
      </c>
      <c r="I569" s="4">
        <v>2254.11</v>
      </c>
      <c r="J569" s="4">
        <v>2382.23</v>
      </c>
      <c r="K569">
        <v>42</v>
      </c>
      <c r="L569" s="3">
        <v>0.15</v>
      </c>
      <c r="M569" s="4">
        <v>94672.62</v>
      </c>
      <c r="N569" s="4">
        <v>100047.36</v>
      </c>
      <c r="O569" s="4">
        <v>5374.74</v>
      </c>
      <c r="P569" s="3">
        <v>5.3721957281031699E-2</v>
      </c>
    </row>
    <row r="570" spans="1:16" x14ac:dyDescent="0.3">
      <c r="A570">
        <v>1099</v>
      </c>
      <c r="B570" s="2">
        <v>45084</v>
      </c>
      <c r="C570" s="1" t="s">
        <v>31</v>
      </c>
      <c r="D570" s="1" t="s">
        <v>13</v>
      </c>
      <c r="E570" s="1" t="s">
        <v>22</v>
      </c>
      <c r="F570" s="1" t="s">
        <v>15</v>
      </c>
      <c r="G570" s="1" t="s">
        <v>16</v>
      </c>
      <c r="H570" s="1" t="s">
        <v>17</v>
      </c>
      <c r="I570" s="4">
        <v>1974.4</v>
      </c>
      <c r="J570" s="4">
        <v>2259.5</v>
      </c>
      <c r="K570">
        <v>31</v>
      </c>
      <c r="L570" s="3">
        <v>0.27</v>
      </c>
      <c r="M570" s="4">
        <v>61206.400000000001</v>
      </c>
      <c r="N570" s="4">
        <v>70036.13</v>
      </c>
      <c r="O570" s="4">
        <v>8829.73</v>
      </c>
      <c r="P570" s="3">
        <v>0.12607392784267199</v>
      </c>
    </row>
    <row r="571" spans="1:16" x14ac:dyDescent="0.3">
      <c r="A571">
        <v>1006</v>
      </c>
      <c r="B571" s="2">
        <v>45083</v>
      </c>
      <c r="C571" s="1" t="s">
        <v>23</v>
      </c>
      <c r="D571" s="1" t="s">
        <v>13</v>
      </c>
      <c r="E571" s="1" t="s">
        <v>28</v>
      </c>
      <c r="F571" s="1" t="s">
        <v>15</v>
      </c>
      <c r="G571" s="1" t="s">
        <v>25</v>
      </c>
      <c r="H571" s="1" t="s">
        <v>17</v>
      </c>
      <c r="I571" s="4">
        <v>1701.62</v>
      </c>
      <c r="J571" s="4">
        <v>2193.2199999999998</v>
      </c>
      <c r="K571">
        <v>21</v>
      </c>
      <c r="L571" s="3">
        <v>0.22</v>
      </c>
      <c r="M571" s="4">
        <v>35734.019999999997</v>
      </c>
      <c r="N571" s="4">
        <v>46053</v>
      </c>
      <c r="O571" s="4">
        <v>10318.98</v>
      </c>
      <c r="P571" s="3">
        <v>0.2240674874601</v>
      </c>
    </row>
    <row r="572" spans="1:16" x14ac:dyDescent="0.3">
      <c r="A572">
        <v>1033</v>
      </c>
      <c r="B572" s="2">
        <v>45083</v>
      </c>
      <c r="C572" s="1" t="s">
        <v>26</v>
      </c>
      <c r="D572" s="1" t="s">
        <v>13</v>
      </c>
      <c r="E572" s="1" t="s">
        <v>22</v>
      </c>
      <c r="F572" s="1" t="s">
        <v>20</v>
      </c>
      <c r="G572" s="1" t="s">
        <v>21</v>
      </c>
      <c r="H572" s="1" t="s">
        <v>17</v>
      </c>
      <c r="I572" s="4">
        <v>108.99</v>
      </c>
      <c r="J572" s="4">
        <v>351.6</v>
      </c>
      <c r="K572">
        <v>32</v>
      </c>
      <c r="L572" s="3">
        <v>0.27</v>
      </c>
      <c r="M572" s="4">
        <v>3487.68</v>
      </c>
      <c r="N572" s="4">
        <v>11242.56</v>
      </c>
      <c r="O572" s="4">
        <v>7754.88</v>
      </c>
      <c r="P572" s="3">
        <v>0.68977884040645598</v>
      </c>
    </row>
    <row r="573" spans="1:16" x14ac:dyDescent="0.3">
      <c r="A573">
        <v>1042</v>
      </c>
      <c r="B573" s="2">
        <v>45083</v>
      </c>
      <c r="C573" s="1" t="s">
        <v>23</v>
      </c>
      <c r="D573" s="1" t="s">
        <v>30</v>
      </c>
      <c r="E573" s="1" t="s">
        <v>22</v>
      </c>
      <c r="F573" s="1" t="s">
        <v>20</v>
      </c>
      <c r="G573" s="1" t="s">
        <v>21</v>
      </c>
      <c r="H573" s="1" t="s">
        <v>17</v>
      </c>
      <c r="I573" s="4">
        <v>3115.06</v>
      </c>
      <c r="J573" s="4">
        <v>3565.58</v>
      </c>
      <c r="K573">
        <v>20</v>
      </c>
      <c r="L573" s="3">
        <v>0.3</v>
      </c>
      <c r="M573" s="4">
        <v>62301.2</v>
      </c>
      <c r="N573" s="4">
        <v>71305.600000000006</v>
      </c>
      <c r="O573" s="4">
        <v>9004.4</v>
      </c>
      <c r="P573" s="3">
        <v>0.126279001929722</v>
      </c>
    </row>
    <row r="574" spans="1:16" x14ac:dyDescent="0.3">
      <c r="A574">
        <v>1045</v>
      </c>
      <c r="B574" s="2">
        <v>45083</v>
      </c>
      <c r="C574" s="1" t="s">
        <v>23</v>
      </c>
      <c r="D574" s="1" t="s">
        <v>27</v>
      </c>
      <c r="E574" s="1" t="s">
        <v>28</v>
      </c>
      <c r="F574" s="1" t="s">
        <v>15</v>
      </c>
      <c r="G574" s="1" t="s">
        <v>25</v>
      </c>
      <c r="H574" s="1" t="s">
        <v>29</v>
      </c>
      <c r="I574" s="4">
        <v>316.22000000000003</v>
      </c>
      <c r="J574" s="4">
        <v>799.04</v>
      </c>
      <c r="K574">
        <v>15</v>
      </c>
      <c r="L574" s="3">
        <v>0</v>
      </c>
      <c r="M574" s="4">
        <v>4743.3</v>
      </c>
      <c r="N574" s="4">
        <v>11985.6</v>
      </c>
      <c r="O574" s="4">
        <v>7242.3</v>
      </c>
      <c r="P574" s="3">
        <v>0.60425010012014402</v>
      </c>
    </row>
    <row r="575" spans="1:16" x14ac:dyDescent="0.3">
      <c r="A575">
        <v>1079</v>
      </c>
      <c r="B575" s="2">
        <v>45083</v>
      </c>
      <c r="C575" s="1" t="s">
        <v>18</v>
      </c>
      <c r="D575" s="1" t="s">
        <v>27</v>
      </c>
      <c r="E575" s="1" t="s">
        <v>24</v>
      </c>
      <c r="F575" s="1" t="s">
        <v>20</v>
      </c>
      <c r="G575" s="1" t="s">
        <v>21</v>
      </c>
      <c r="H575" s="1" t="s">
        <v>29</v>
      </c>
      <c r="I575" s="4">
        <v>1967.96</v>
      </c>
      <c r="J575" s="4">
        <v>1993.4</v>
      </c>
      <c r="K575">
        <v>34</v>
      </c>
      <c r="L575" s="3">
        <v>0.15</v>
      </c>
      <c r="M575" s="4">
        <v>66910.64</v>
      </c>
      <c r="N575" s="4">
        <v>67770.5</v>
      </c>
      <c r="O575" s="4">
        <v>859.86</v>
      </c>
      <c r="P575" s="3">
        <v>1.2687821397215601E-2</v>
      </c>
    </row>
    <row r="576" spans="1:16" x14ac:dyDescent="0.3">
      <c r="A576">
        <v>1082</v>
      </c>
      <c r="B576" s="2">
        <v>45082</v>
      </c>
      <c r="C576" s="1" t="s">
        <v>31</v>
      </c>
      <c r="D576" s="1" t="s">
        <v>13</v>
      </c>
      <c r="E576" s="1" t="s">
        <v>14</v>
      </c>
      <c r="F576" s="1" t="s">
        <v>20</v>
      </c>
      <c r="G576" s="1" t="s">
        <v>21</v>
      </c>
      <c r="H576" s="1" t="s">
        <v>29</v>
      </c>
      <c r="I576" s="4">
        <v>1719.47</v>
      </c>
      <c r="J576" s="4">
        <v>1832.6</v>
      </c>
      <c r="K576">
        <v>15</v>
      </c>
      <c r="L576" s="3">
        <v>0.12</v>
      </c>
      <c r="M576" s="4">
        <v>25792.05</v>
      </c>
      <c r="N576" s="4">
        <v>27487.200000000001</v>
      </c>
      <c r="O576" s="4">
        <v>1695.15</v>
      </c>
      <c r="P576" s="3">
        <v>6.1670523007072403E-2</v>
      </c>
    </row>
    <row r="577" spans="1:16" x14ac:dyDescent="0.3">
      <c r="A577">
        <v>1021</v>
      </c>
      <c r="B577" s="2">
        <v>45081</v>
      </c>
      <c r="C577" s="1" t="s">
        <v>12</v>
      </c>
      <c r="D577" s="1" t="s">
        <v>30</v>
      </c>
      <c r="E577" s="1" t="s">
        <v>28</v>
      </c>
      <c r="F577" s="1" t="s">
        <v>15</v>
      </c>
      <c r="G577" s="1" t="s">
        <v>16</v>
      </c>
      <c r="H577" s="1" t="s">
        <v>29</v>
      </c>
      <c r="I577" s="4">
        <v>1296.44</v>
      </c>
      <c r="J577" s="4">
        <v>1751.24</v>
      </c>
      <c r="K577">
        <v>22</v>
      </c>
      <c r="L577" s="3">
        <v>0.22</v>
      </c>
      <c r="M577" s="4">
        <v>28521.68</v>
      </c>
      <c r="N577" s="4">
        <v>38522.44</v>
      </c>
      <c r="O577" s="4">
        <v>10000.76</v>
      </c>
      <c r="P577" s="3">
        <v>0.25960868522347003</v>
      </c>
    </row>
    <row r="578" spans="1:16" x14ac:dyDescent="0.3">
      <c r="A578">
        <v>1096</v>
      </c>
      <c r="B578" s="2">
        <v>45081</v>
      </c>
      <c r="C578" s="1" t="s">
        <v>23</v>
      </c>
      <c r="D578" s="1" t="s">
        <v>27</v>
      </c>
      <c r="E578" s="1" t="s">
        <v>24</v>
      </c>
      <c r="F578" s="1" t="s">
        <v>20</v>
      </c>
      <c r="G578" s="1" t="s">
        <v>21</v>
      </c>
      <c r="H578" s="1" t="s">
        <v>29</v>
      </c>
      <c r="I578" s="4">
        <v>2251.9499999999998</v>
      </c>
      <c r="J578" s="4">
        <v>2626.32</v>
      </c>
      <c r="K578">
        <v>14</v>
      </c>
      <c r="L578" s="3">
        <v>0.21</v>
      </c>
      <c r="M578" s="4">
        <v>31527.3</v>
      </c>
      <c r="N578" s="4">
        <v>36765.54</v>
      </c>
      <c r="O578" s="4">
        <v>5238.24</v>
      </c>
      <c r="P578" s="3">
        <v>0.14247689548419501</v>
      </c>
    </row>
    <row r="579" spans="1:16" x14ac:dyDescent="0.3">
      <c r="A579">
        <v>1016</v>
      </c>
      <c r="B579" s="2">
        <v>45080</v>
      </c>
      <c r="C579" s="1" t="s">
        <v>18</v>
      </c>
      <c r="D579" s="1" t="s">
        <v>19</v>
      </c>
      <c r="E579" s="1" t="s">
        <v>14</v>
      </c>
      <c r="F579" s="1" t="s">
        <v>20</v>
      </c>
      <c r="G579" s="1" t="s">
        <v>21</v>
      </c>
      <c r="H579" s="1" t="s">
        <v>17</v>
      </c>
      <c r="I579" s="4">
        <v>1023.5</v>
      </c>
      <c r="J579" s="4">
        <v>1164.4100000000001</v>
      </c>
      <c r="K579">
        <v>46</v>
      </c>
      <c r="L579" s="3">
        <v>0.28000000000000003</v>
      </c>
      <c r="M579" s="4">
        <v>47081</v>
      </c>
      <c r="N579" s="4">
        <v>53549.98</v>
      </c>
      <c r="O579" s="4">
        <v>6468.98</v>
      </c>
      <c r="P579" s="3">
        <v>0.120802659496792</v>
      </c>
    </row>
    <row r="580" spans="1:16" x14ac:dyDescent="0.3">
      <c r="A580">
        <v>1039</v>
      </c>
      <c r="B580" s="2">
        <v>45080</v>
      </c>
      <c r="C580" s="1" t="s">
        <v>23</v>
      </c>
      <c r="D580" s="1" t="s">
        <v>27</v>
      </c>
      <c r="E580" s="1" t="s">
        <v>14</v>
      </c>
      <c r="F580" s="1" t="s">
        <v>20</v>
      </c>
      <c r="G580" s="1" t="s">
        <v>21</v>
      </c>
      <c r="H580" s="1" t="s">
        <v>29</v>
      </c>
      <c r="I580" s="4">
        <v>3380.14</v>
      </c>
      <c r="J580" s="4">
        <v>3609.34</v>
      </c>
      <c r="K580">
        <v>8</v>
      </c>
      <c r="L580" s="3">
        <v>0.09</v>
      </c>
      <c r="M580" s="4">
        <v>27041.119999999999</v>
      </c>
      <c r="N580" s="4">
        <v>28874</v>
      </c>
      <c r="O580" s="4">
        <v>1832.88</v>
      </c>
      <c r="P580" s="3">
        <v>6.3478562028122201E-2</v>
      </c>
    </row>
    <row r="581" spans="1:16" x14ac:dyDescent="0.3">
      <c r="A581">
        <v>1069</v>
      </c>
      <c r="B581" s="2">
        <v>45080</v>
      </c>
      <c r="C581" s="1" t="s">
        <v>18</v>
      </c>
      <c r="D581" s="1" t="s">
        <v>19</v>
      </c>
      <c r="E581" s="1" t="s">
        <v>14</v>
      </c>
      <c r="F581" s="1" t="s">
        <v>15</v>
      </c>
      <c r="G581" s="1" t="s">
        <v>21</v>
      </c>
      <c r="H581" s="1" t="s">
        <v>17</v>
      </c>
      <c r="I581" s="4">
        <v>1434.2</v>
      </c>
      <c r="J581" s="4">
        <v>1482.88</v>
      </c>
      <c r="K581">
        <v>42</v>
      </c>
      <c r="L581" s="3">
        <v>0.28000000000000003</v>
      </c>
      <c r="M581" s="4">
        <v>60236.4</v>
      </c>
      <c r="N581" s="4">
        <v>62269.2</v>
      </c>
      <c r="O581" s="4">
        <v>2032.8</v>
      </c>
      <c r="P581" s="3">
        <v>3.2645352758667201E-2</v>
      </c>
    </row>
    <row r="582" spans="1:16" x14ac:dyDescent="0.3">
      <c r="A582">
        <v>1090</v>
      </c>
      <c r="B582" s="2">
        <v>45080</v>
      </c>
      <c r="C582" s="1" t="s">
        <v>12</v>
      </c>
      <c r="D582" s="1" t="s">
        <v>30</v>
      </c>
      <c r="E582" s="1" t="s">
        <v>24</v>
      </c>
      <c r="F582" s="1" t="s">
        <v>15</v>
      </c>
      <c r="G582" s="1" t="s">
        <v>21</v>
      </c>
      <c r="H582" s="1" t="s">
        <v>29</v>
      </c>
      <c r="I582" s="4">
        <v>2055.4899999999998</v>
      </c>
      <c r="J582" s="4">
        <v>2441.46</v>
      </c>
      <c r="K582">
        <v>41</v>
      </c>
      <c r="L582" s="3">
        <v>0.24</v>
      </c>
      <c r="M582" s="4">
        <v>84275.09</v>
      </c>
      <c r="N582" s="4">
        <v>100090.02</v>
      </c>
      <c r="O582" s="4">
        <v>15814.93</v>
      </c>
      <c r="P582" s="3">
        <v>0.158007062042749</v>
      </c>
    </row>
    <row r="583" spans="1:16" x14ac:dyDescent="0.3">
      <c r="A583">
        <v>1090</v>
      </c>
      <c r="B583" s="2">
        <v>45080</v>
      </c>
      <c r="C583" s="1" t="s">
        <v>18</v>
      </c>
      <c r="D583" s="1" t="s">
        <v>27</v>
      </c>
      <c r="E583" s="1" t="s">
        <v>24</v>
      </c>
      <c r="F583" s="1" t="s">
        <v>15</v>
      </c>
      <c r="G583" s="1" t="s">
        <v>16</v>
      </c>
      <c r="H583" s="1" t="s">
        <v>29</v>
      </c>
      <c r="I583" s="4">
        <v>85.35</v>
      </c>
      <c r="J583" s="4">
        <v>360.54</v>
      </c>
      <c r="K583">
        <v>47</v>
      </c>
      <c r="L583" s="3">
        <v>0.28000000000000003</v>
      </c>
      <c r="M583" s="4">
        <v>4011.45</v>
      </c>
      <c r="N583" s="4">
        <v>16932.22</v>
      </c>
      <c r="O583" s="4">
        <v>12920.77</v>
      </c>
      <c r="P583" s="3">
        <v>0.76308776994392902</v>
      </c>
    </row>
    <row r="584" spans="1:16" x14ac:dyDescent="0.3">
      <c r="A584">
        <v>1024</v>
      </c>
      <c r="B584" s="2">
        <v>45079</v>
      </c>
      <c r="C584" s="1" t="s">
        <v>26</v>
      </c>
      <c r="D584" s="1" t="s">
        <v>19</v>
      </c>
      <c r="E584" s="1" t="s">
        <v>24</v>
      </c>
      <c r="F584" s="1" t="s">
        <v>20</v>
      </c>
      <c r="G584" s="1" t="s">
        <v>21</v>
      </c>
      <c r="H584" s="1" t="s">
        <v>29</v>
      </c>
      <c r="I584" s="4">
        <v>3604.93</v>
      </c>
      <c r="J584" s="4">
        <v>3830.71</v>
      </c>
      <c r="K584">
        <v>2</v>
      </c>
      <c r="L584" s="3">
        <v>0.12</v>
      </c>
      <c r="M584" s="4">
        <v>7209.86</v>
      </c>
      <c r="N584" s="4">
        <v>7661.18</v>
      </c>
      <c r="O584" s="4">
        <v>451.32</v>
      </c>
      <c r="P584" s="3">
        <v>5.8909985145891401E-2</v>
      </c>
    </row>
    <row r="585" spans="1:16" x14ac:dyDescent="0.3">
      <c r="A585">
        <v>1057</v>
      </c>
      <c r="B585" s="2">
        <v>45079</v>
      </c>
      <c r="C585" s="1" t="s">
        <v>12</v>
      </c>
      <c r="D585" s="1" t="s">
        <v>13</v>
      </c>
      <c r="E585" s="1" t="s">
        <v>22</v>
      </c>
      <c r="F585" s="1" t="s">
        <v>20</v>
      </c>
      <c r="G585" s="1" t="s">
        <v>21</v>
      </c>
      <c r="H585" s="1" t="s">
        <v>29</v>
      </c>
      <c r="I585" s="4">
        <v>3462.61</v>
      </c>
      <c r="J585" s="4">
        <v>3672.89</v>
      </c>
      <c r="K585">
        <v>22</v>
      </c>
      <c r="L585" s="3">
        <v>0.27</v>
      </c>
      <c r="M585" s="4">
        <v>76177.42</v>
      </c>
      <c r="N585" s="4">
        <v>80797.64</v>
      </c>
      <c r="O585" s="4">
        <v>4620.22</v>
      </c>
      <c r="P585" s="3">
        <v>5.71826107792257E-2</v>
      </c>
    </row>
    <row r="586" spans="1:16" x14ac:dyDescent="0.3">
      <c r="A586">
        <v>1057</v>
      </c>
      <c r="B586" s="2">
        <v>45079</v>
      </c>
      <c r="C586" s="1" t="s">
        <v>23</v>
      </c>
      <c r="D586" s="1" t="s">
        <v>27</v>
      </c>
      <c r="E586" s="1" t="s">
        <v>28</v>
      </c>
      <c r="F586" s="1" t="s">
        <v>15</v>
      </c>
      <c r="G586" s="1" t="s">
        <v>25</v>
      </c>
      <c r="H586" s="1" t="s">
        <v>17</v>
      </c>
      <c r="I586" s="4">
        <v>1878.3</v>
      </c>
      <c r="J586" s="4">
        <v>2087.4499999999998</v>
      </c>
      <c r="K586">
        <v>12</v>
      </c>
      <c r="L586" s="3">
        <v>0.05</v>
      </c>
      <c r="M586" s="4">
        <v>22539.599999999999</v>
      </c>
      <c r="N586" s="4">
        <v>25048.799999999999</v>
      </c>
      <c r="O586" s="4">
        <v>2509.1999999999998</v>
      </c>
      <c r="P586" s="3">
        <v>0.100172463351538</v>
      </c>
    </row>
    <row r="587" spans="1:16" x14ac:dyDescent="0.3">
      <c r="A587">
        <v>1059</v>
      </c>
      <c r="B587" s="2">
        <v>45079</v>
      </c>
      <c r="C587" s="1" t="s">
        <v>23</v>
      </c>
      <c r="D587" s="1" t="s">
        <v>19</v>
      </c>
      <c r="E587" s="1" t="s">
        <v>24</v>
      </c>
      <c r="F587" s="1" t="s">
        <v>20</v>
      </c>
      <c r="G587" s="1" t="s">
        <v>21</v>
      </c>
      <c r="H587" s="1" t="s">
        <v>17</v>
      </c>
      <c r="I587" s="4">
        <v>287.17</v>
      </c>
      <c r="J587" s="4">
        <v>657.44</v>
      </c>
      <c r="K587">
        <v>47</v>
      </c>
      <c r="L587" s="3">
        <v>0.14000000000000001</v>
      </c>
      <c r="M587" s="4">
        <v>13496.99</v>
      </c>
      <c r="N587" s="4">
        <v>30893.1</v>
      </c>
      <c r="O587" s="4">
        <v>17396.11</v>
      </c>
      <c r="P587" s="3">
        <v>0.563106648410163</v>
      </c>
    </row>
    <row r="588" spans="1:16" x14ac:dyDescent="0.3">
      <c r="A588">
        <v>1086</v>
      </c>
      <c r="B588" s="2">
        <v>45079</v>
      </c>
      <c r="C588" s="1" t="s">
        <v>23</v>
      </c>
      <c r="D588" s="1" t="s">
        <v>13</v>
      </c>
      <c r="E588" s="1" t="s">
        <v>28</v>
      </c>
      <c r="F588" s="1" t="s">
        <v>15</v>
      </c>
      <c r="G588" s="1" t="s">
        <v>16</v>
      </c>
      <c r="H588" s="1" t="s">
        <v>29</v>
      </c>
      <c r="I588" s="4">
        <v>1595.35</v>
      </c>
      <c r="J588" s="4">
        <v>1625.71</v>
      </c>
      <c r="K588">
        <v>3</v>
      </c>
      <c r="L588" s="3">
        <v>0.27</v>
      </c>
      <c r="M588" s="4">
        <v>4786.05</v>
      </c>
      <c r="N588" s="4">
        <v>4876.32</v>
      </c>
      <c r="O588" s="4">
        <v>90.27</v>
      </c>
      <c r="P588" s="3">
        <v>1.85119106211241E-2</v>
      </c>
    </row>
    <row r="589" spans="1:16" x14ac:dyDescent="0.3">
      <c r="A589">
        <v>1013</v>
      </c>
      <c r="B589" s="2">
        <v>45078</v>
      </c>
      <c r="C589" s="1" t="s">
        <v>31</v>
      </c>
      <c r="D589" s="1" t="s">
        <v>13</v>
      </c>
      <c r="E589" s="1" t="s">
        <v>24</v>
      </c>
      <c r="F589" s="1" t="s">
        <v>20</v>
      </c>
      <c r="G589" s="1" t="s">
        <v>21</v>
      </c>
      <c r="H589" s="1" t="s">
        <v>17</v>
      </c>
      <c r="I589" s="4">
        <v>1222.1500000000001</v>
      </c>
      <c r="J589" s="4">
        <v>1284.3599999999999</v>
      </c>
      <c r="K589">
        <v>16</v>
      </c>
      <c r="L589" s="3">
        <v>0.03</v>
      </c>
      <c r="M589" s="4">
        <v>19554.400000000001</v>
      </c>
      <c r="N589" s="4">
        <v>20549.28</v>
      </c>
      <c r="O589" s="4">
        <v>994.88</v>
      </c>
      <c r="P589" s="3">
        <v>4.8414348337265399E-2</v>
      </c>
    </row>
    <row r="590" spans="1:16" x14ac:dyDescent="0.3">
      <c r="A590">
        <v>1019</v>
      </c>
      <c r="B590" s="2">
        <v>45078</v>
      </c>
      <c r="C590" s="1" t="s">
        <v>23</v>
      </c>
      <c r="D590" s="1" t="s">
        <v>13</v>
      </c>
      <c r="E590" s="1" t="s">
        <v>14</v>
      </c>
      <c r="F590" s="1" t="s">
        <v>20</v>
      </c>
      <c r="G590" s="1" t="s">
        <v>25</v>
      </c>
      <c r="H590" s="1" t="s">
        <v>29</v>
      </c>
      <c r="I590" s="4">
        <v>3637.25</v>
      </c>
      <c r="J590" s="4">
        <v>4096.96</v>
      </c>
      <c r="K590">
        <v>38</v>
      </c>
      <c r="L590" s="3">
        <v>0.09</v>
      </c>
      <c r="M590" s="4">
        <v>138215.5</v>
      </c>
      <c r="N590" s="4">
        <v>155681.06</v>
      </c>
      <c r="O590" s="4">
        <v>17465.560000000001</v>
      </c>
      <c r="P590" s="3">
        <v>0.112188085050294</v>
      </c>
    </row>
    <row r="591" spans="1:16" x14ac:dyDescent="0.3">
      <c r="A591">
        <v>1022</v>
      </c>
      <c r="B591" s="2">
        <v>45078</v>
      </c>
      <c r="C591" s="1" t="s">
        <v>18</v>
      </c>
      <c r="D591" s="1" t="s">
        <v>13</v>
      </c>
      <c r="E591" s="1" t="s">
        <v>28</v>
      </c>
      <c r="F591" s="1" t="s">
        <v>15</v>
      </c>
      <c r="G591" s="1" t="s">
        <v>16</v>
      </c>
      <c r="H591" s="1" t="s">
        <v>29</v>
      </c>
      <c r="I591" s="4">
        <v>2263.65</v>
      </c>
      <c r="J591" s="4">
        <v>2558.9499999999998</v>
      </c>
      <c r="K591">
        <v>9</v>
      </c>
      <c r="L591" s="3">
        <v>0.03</v>
      </c>
      <c r="M591" s="4">
        <v>20372.849999999999</v>
      </c>
      <c r="N591" s="4">
        <v>23030.28</v>
      </c>
      <c r="O591" s="4">
        <v>2657.43</v>
      </c>
      <c r="P591" s="3">
        <v>0.11538852328326001</v>
      </c>
    </row>
    <row r="592" spans="1:16" x14ac:dyDescent="0.3">
      <c r="A592">
        <v>1050</v>
      </c>
      <c r="B592" s="2">
        <v>45078</v>
      </c>
      <c r="C592" s="1" t="s">
        <v>23</v>
      </c>
      <c r="D592" s="1" t="s">
        <v>27</v>
      </c>
      <c r="E592" s="1" t="s">
        <v>24</v>
      </c>
      <c r="F592" s="1" t="s">
        <v>20</v>
      </c>
      <c r="G592" s="1" t="s">
        <v>16</v>
      </c>
      <c r="H592" s="1" t="s">
        <v>29</v>
      </c>
      <c r="I592" s="4">
        <v>3756.06</v>
      </c>
      <c r="J592" s="4">
        <v>4255.7299999999996</v>
      </c>
      <c r="K592">
        <v>23</v>
      </c>
      <c r="L592" s="3">
        <v>0.04</v>
      </c>
      <c r="M592" s="4">
        <v>86389.38</v>
      </c>
      <c r="N592" s="4">
        <v>97880.87</v>
      </c>
      <c r="O592" s="4">
        <v>11491.49</v>
      </c>
      <c r="P592" s="3">
        <v>0.117402818344381</v>
      </c>
    </row>
    <row r="593" spans="1:16" x14ac:dyDescent="0.3">
      <c r="A593">
        <v>1099</v>
      </c>
      <c r="B593" s="2">
        <v>45078</v>
      </c>
      <c r="C593" s="1" t="s">
        <v>26</v>
      </c>
      <c r="D593" s="1" t="s">
        <v>27</v>
      </c>
      <c r="E593" s="1" t="s">
        <v>28</v>
      </c>
      <c r="F593" s="1" t="s">
        <v>15</v>
      </c>
      <c r="G593" s="1" t="s">
        <v>16</v>
      </c>
      <c r="H593" s="1" t="s">
        <v>17</v>
      </c>
      <c r="I593" s="4">
        <v>2038.4</v>
      </c>
      <c r="J593" s="4">
        <v>2073.3200000000002</v>
      </c>
      <c r="K593">
        <v>2</v>
      </c>
      <c r="L593" s="3">
        <v>0.16</v>
      </c>
      <c r="M593" s="4">
        <v>4076.8</v>
      </c>
      <c r="N593" s="4">
        <v>4146.32</v>
      </c>
      <c r="O593" s="4">
        <v>69.52</v>
      </c>
      <c r="P593" s="3">
        <v>1.67666750274943E-2</v>
      </c>
    </row>
    <row r="594" spans="1:16" x14ac:dyDescent="0.3">
      <c r="A594">
        <v>1064</v>
      </c>
      <c r="B594" s="2">
        <v>45077</v>
      </c>
      <c r="C594" s="1" t="s">
        <v>18</v>
      </c>
      <c r="D594" s="1" t="s">
        <v>27</v>
      </c>
      <c r="E594" s="1" t="s">
        <v>14</v>
      </c>
      <c r="F594" s="1" t="s">
        <v>15</v>
      </c>
      <c r="G594" s="1" t="s">
        <v>16</v>
      </c>
      <c r="H594" s="1" t="s">
        <v>17</v>
      </c>
      <c r="I594" s="4">
        <v>816.54</v>
      </c>
      <c r="J594" s="4">
        <v>1191.9000000000001</v>
      </c>
      <c r="K594">
        <v>8</v>
      </c>
      <c r="L594" s="3">
        <v>0.03</v>
      </c>
      <c r="M594" s="4">
        <v>6532.32</v>
      </c>
      <c r="N594" s="4">
        <v>9534.9599999999991</v>
      </c>
      <c r="O594" s="4">
        <v>3002.64</v>
      </c>
      <c r="P594" s="3">
        <v>0.31490850512220298</v>
      </c>
    </row>
    <row r="595" spans="1:16" x14ac:dyDescent="0.3">
      <c r="A595">
        <v>1002</v>
      </c>
      <c r="B595" s="2">
        <v>45076</v>
      </c>
      <c r="C595" s="1" t="s">
        <v>18</v>
      </c>
      <c r="D595" s="1" t="s">
        <v>30</v>
      </c>
      <c r="E595" s="1" t="s">
        <v>24</v>
      </c>
      <c r="F595" s="1" t="s">
        <v>20</v>
      </c>
      <c r="G595" s="1" t="s">
        <v>16</v>
      </c>
      <c r="H595" s="1" t="s">
        <v>29</v>
      </c>
      <c r="I595" s="4">
        <v>4024.76</v>
      </c>
      <c r="J595" s="4">
        <v>4420.1499999999996</v>
      </c>
      <c r="K595">
        <v>17</v>
      </c>
      <c r="L595" s="3">
        <v>0.04</v>
      </c>
      <c r="M595" s="4">
        <v>68420.92</v>
      </c>
      <c r="N595" s="4">
        <v>75141.87</v>
      </c>
      <c r="O595" s="4">
        <v>6720.95</v>
      </c>
      <c r="P595" s="3">
        <v>8.9443475388621602E-2</v>
      </c>
    </row>
    <row r="596" spans="1:16" x14ac:dyDescent="0.3">
      <c r="A596">
        <v>1002</v>
      </c>
      <c r="B596" s="2">
        <v>45076</v>
      </c>
      <c r="C596" s="1" t="s">
        <v>12</v>
      </c>
      <c r="D596" s="1" t="s">
        <v>30</v>
      </c>
      <c r="E596" s="1" t="s">
        <v>24</v>
      </c>
      <c r="F596" s="1" t="s">
        <v>20</v>
      </c>
      <c r="G596" s="1" t="s">
        <v>21</v>
      </c>
      <c r="H596" s="1" t="s">
        <v>17</v>
      </c>
      <c r="I596" s="4">
        <v>1393.58</v>
      </c>
      <c r="J596" s="4">
        <v>1533.09</v>
      </c>
      <c r="K596">
        <v>44</v>
      </c>
      <c r="L596" s="3">
        <v>0.24</v>
      </c>
      <c r="M596" s="4">
        <v>61317.52</v>
      </c>
      <c r="N596" s="4">
        <v>67445.399999999994</v>
      </c>
      <c r="O596" s="4">
        <v>6127.88</v>
      </c>
      <c r="P596" s="3">
        <v>9.0856900544736899E-2</v>
      </c>
    </row>
    <row r="597" spans="1:16" x14ac:dyDescent="0.3">
      <c r="A597">
        <v>1040</v>
      </c>
      <c r="B597" s="2">
        <v>45076</v>
      </c>
      <c r="C597" s="1" t="s">
        <v>26</v>
      </c>
      <c r="D597" s="1" t="s">
        <v>27</v>
      </c>
      <c r="E597" s="1" t="s">
        <v>14</v>
      </c>
      <c r="F597" s="1" t="s">
        <v>15</v>
      </c>
      <c r="G597" s="1" t="s">
        <v>21</v>
      </c>
      <c r="H597" s="1" t="s">
        <v>29</v>
      </c>
      <c r="I597" s="4">
        <v>1656.82</v>
      </c>
      <c r="J597" s="4">
        <v>1750.38</v>
      </c>
      <c r="K597">
        <v>47</v>
      </c>
      <c r="L597" s="3">
        <v>0.21</v>
      </c>
      <c r="M597" s="4">
        <v>77870.539999999994</v>
      </c>
      <c r="N597" s="4">
        <v>82257.990000000005</v>
      </c>
      <c r="O597" s="4">
        <v>4387.45</v>
      </c>
      <c r="P597" s="3">
        <v>5.3337675768639597E-2</v>
      </c>
    </row>
    <row r="598" spans="1:16" x14ac:dyDescent="0.3">
      <c r="A598">
        <v>1055</v>
      </c>
      <c r="B598" s="2">
        <v>45075</v>
      </c>
      <c r="C598" s="1" t="s">
        <v>12</v>
      </c>
      <c r="D598" s="1" t="s">
        <v>30</v>
      </c>
      <c r="E598" s="1" t="s">
        <v>24</v>
      </c>
      <c r="F598" s="1" t="s">
        <v>15</v>
      </c>
      <c r="G598" s="1" t="s">
        <v>25</v>
      </c>
      <c r="H598" s="1" t="s">
        <v>29</v>
      </c>
      <c r="I598" s="4">
        <v>959.73</v>
      </c>
      <c r="J598" s="4">
        <v>1111.4100000000001</v>
      </c>
      <c r="K598">
        <v>40</v>
      </c>
      <c r="L598" s="3">
        <v>0.23</v>
      </c>
      <c r="M598" s="4">
        <v>38389.199999999997</v>
      </c>
      <c r="N598" s="4">
        <v>44447.199999999997</v>
      </c>
      <c r="O598" s="4">
        <v>6058</v>
      </c>
      <c r="P598" s="3">
        <v>0.13629654961392401</v>
      </c>
    </row>
    <row r="599" spans="1:16" x14ac:dyDescent="0.3">
      <c r="A599">
        <v>1069</v>
      </c>
      <c r="B599" s="2">
        <v>45075</v>
      </c>
      <c r="C599" s="1" t="s">
        <v>26</v>
      </c>
      <c r="D599" s="1" t="s">
        <v>30</v>
      </c>
      <c r="E599" s="1" t="s">
        <v>28</v>
      </c>
      <c r="F599" s="1" t="s">
        <v>15</v>
      </c>
      <c r="G599" s="1" t="s">
        <v>25</v>
      </c>
      <c r="H599" s="1" t="s">
        <v>17</v>
      </c>
      <c r="I599" s="4">
        <v>300.01</v>
      </c>
      <c r="J599" s="4">
        <v>477.68</v>
      </c>
      <c r="K599">
        <v>30</v>
      </c>
      <c r="L599" s="3">
        <v>0.11</v>
      </c>
      <c r="M599" s="4">
        <v>9000.2999999999993</v>
      </c>
      <c r="N599" s="4">
        <v>14327.1</v>
      </c>
      <c r="O599" s="4">
        <v>5326.8</v>
      </c>
      <c r="P599" s="3">
        <v>0.37179889859078202</v>
      </c>
    </row>
    <row r="600" spans="1:16" x14ac:dyDescent="0.3">
      <c r="A600">
        <v>1070</v>
      </c>
      <c r="B600" s="2">
        <v>45075</v>
      </c>
      <c r="C600" s="1" t="s">
        <v>31</v>
      </c>
      <c r="D600" s="1" t="s">
        <v>27</v>
      </c>
      <c r="E600" s="1" t="s">
        <v>24</v>
      </c>
      <c r="F600" s="1" t="s">
        <v>20</v>
      </c>
      <c r="G600" s="1" t="s">
        <v>25</v>
      </c>
      <c r="H600" s="1" t="s">
        <v>29</v>
      </c>
      <c r="I600" s="4">
        <v>3796.79</v>
      </c>
      <c r="J600" s="4">
        <v>3947.5</v>
      </c>
      <c r="K600">
        <v>14</v>
      </c>
      <c r="L600" s="3">
        <v>0.24</v>
      </c>
      <c r="M600" s="4">
        <v>53155.06</v>
      </c>
      <c r="N600" s="4">
        <v>55261.64</v>
      </c>
      <c r="O600" s="4">
        <v>2106.58</v>
      </c>
      <c r="P600" s="3">
        <v>3.8120113699122903E-2</v>
      </c>
    </row>
    <row r="601" spans="1:16" x14ac:dyDescent="0.3">
      <c r="A601">
        <v>1006</v>
      </c>
      <c r="B601" s="2">
        <v>45074</v>
      </c>
      <c r="C601" s="1" t="s">
        <v>23</v>
      </c>
      <c r="D601" s="1" t="s">
        <v>30</v>
      </c>
      <c r="E601" s="1" t="s">
        <v>22</v>
      </c>
      <c r="F601" s="1" t="s">
        <v>15</v>
      </c>
      <c r="G601" s="1" t="s">
        <v>16</v>
      </c>
      <c r="H601" s="1" t="s">
        <v>17</v>
      </c>
      <c r="I601" s="4">
        <v>4562.58</v>
      </c>
      <c r="J601" s="4">
        <v>4925.17</v>
      </c>
      <c r="K601">
        <v>11</v>
      </c>
      <c r="L601" s="3">
        <v>0.23</v>
      </c>
      <c r="M601" s="4">
        <v>50188.38</v>
      </c>
      <c r="N601" s="4">
        <v>54174.34</v>
      </c>
      <c r="O601" s="4">
        <v>3985.96</v>
      </c>
      <c r="P601" s="3">
        <v>7.3576530881594507E-2</v>
      </c>
    </row>
    <row r="602" spans="1:16" x14ac:dyDescent="0.3">
      <c r="A602">
        <v>1017</v>
      </c>
      <c r="B602" s="2">
        <v>45074</v>
      </c>
      <c r="C602" s="1" t="s">
        <v>18</v>
      </c>
      <c r="D602" s="1" t="s">
        <v>13</v>
      </c>
      <c r="E602" s="1" t="s">
        <v>28</v>
      </c>
      <c r="F602" s="1" t="s">
        <v>20</v>
      </c>
      <c r="G602" s="1" t="s">
        <v>21</v>
      </c>
      <c r="H602" s="1" t="s">
        <v>29</v>
      </c>
      <c r="I602" s="4">
        <v>4867.6400000000003</v>
      </c>
      <c r="J602" s="4">
        <v>5287.05</v>
      </c>
      <c r="K602">
        <v>35</v>
      </c>
      <c r="L602" s="3">
        <v>0.28000000000000003</v>
      </c>
      <c r="M602" s="4">
        <v>170367.4</v>
      </c>
      <c r="N602" s="4">
        <v>185036.95</v>
      </c>
      <c r="O602" s="4">
        <v>14669.55</v>
      </c>
      <c r="P602" s="3">
        <v>7.9279030485532698E-2</v>
      </c>
    </row>
    <row r="603" spans="1:16" x14ac:dyDescent="0.3">
      <c r="A603">
        <v>1019</v>
      </c>
      <c r="B603" s="2">
        <v>45074</v>
      </c>
      <c r="C603" s="1" t="s">
        <v>26</v>
      </c>
      <c r="D603" s="1" t="s">
        <v>13</v>
      </c>
      <c r="E603" s="1" t="s">
        <v>24</v>
      </c>
      <c r="F603" s="1" t="s">
        <v>15</v>
      </c>
      <c r="G603" s="1" t="s">
        <v>21</v>
      </c>
      <c r="H603" s="1" t="s">
        <v>29</v>
      </c>
      <c r="I603" s="4">
        <v>3907.86</v>
      </c>
      <c r="J603" s="4">
        <v>4205.37</v>
      </c>
      <c r="K603">
        <v>28</v>
      </c>
      <c r="L603" s="3">
        <v>0.09</v>
      </c>
      <c r="M603" s="4">
        <v>109420.08</v>
      </c>
      <c r="N603" s="4">
        <v>117747.84</v>
      </c>
      <c r="O603" s="4">
        <v>8327.76</v>
      </c>
      <c r="P603" s="3">
        <v>7.0725373815774401E-2</v>
      </c>
    </row>
    <row r="604" spans="1:16" x14ac:dyDescent="0.3">
      <c r="A604">
        <v>1050</v>
      </c>
      <c r="B604" s="2">
        <v>45074</v>
      </c>
      <c r="C604" s="1" t="s">
        <v>26</v>
      </c>
      <c r="D604" s="1" t="s">
        <v>30</v>
      </c>
      <c r="E604" s="1" t="s">
        <v>24</v>
      </c>
      <c r="F604" s="1" t="s">
        <v>15</v>
      </c>
      <c r="G604" s="1" t="s">
        <v>21</v>
      </c>
      <c r="H604" s="1" t="s">
        <v>17</v>
      </c>
      <c r="I604" s="4">
        <v>3763.26</v>
      </c>
      <c r="J604" s="4">
        <v>4102.72</v>
      </c>
      <c r="K604">
        <v>6</v>
      </c>
      <c r="L604" s="3">
        <v>0.11</v>
      </c>
      <c r="M604" s="4">
        <v>22579.56</v>
      </c>
      <c r="N604" s="4">
        <v>24615.66</v>
      </c>
      <c r="O604" s="4">
        <v>2036.1</v>
      </c>
      <c r="P604" s="3">
        <v>8.2715637118809707E-2</v>
      </c>
    </row>
    <row r="605" spans="1:16" x14ac:dyDescent="0.3">
      <c r="A605">
        <v>1062</v>
      </c>
      <c r="B605" s="2">
        <v>45074</v>
      </c>
      <c r="C605" s="1" t="s">
        <v>23</v>
      </c>
      <c r="D605" s="1" t="s">
        <v>27</v>
      </c>
      <c r="E605" s="1" t="s">
        <v>28</v>
      </c>
      <c r="F605" s="1" t="s">
        <v>20</v>
      </c>
      <c r="G605" s="1" t="s">
        <v>25</v>
      </c>
      <c r="H605" s="1" t="s">
        <v>29</v>
      </c>
      <c r="I605" s="4">
        <v>933.16</v>
      </c>
      <c r="J605" s="4">
        <v>1004.7</v>
      </c>
      <c r="K605">
        <v>28</v>
      </c>
      <c r="L605" s="3">
        <v>0.18</v>
      </c>
      <c r="M605" s="4">
        <v>26128.48</v>
      </c>
      <c r="N605" s="4">
        <v>28126.560000000001</v>
      </c>
      <c r="O605" s="4">
        <v>1998.08</v>
      </c>
      <c r="P605" s="3">
        <v>7.1038904153227403E-2</v>
      </c>
    </row>
    <row r="606" spans="1:16" x14ac:dyDescent="0.3">
      <c r="A606">
        <v>1001</v>
      </c>
      <c r="B606" s="2">
        <v>45073</v>
      </c>
      <c r="C606" s="1" t="s">
        <v>26</v>
      </c>
      <c r="D606" s="1" t="s">
        <v>27</v>
      </c>
      <c r="E606" s="1" t="s">
        <v>28</v>
      </c>
      <c r="F606" s="1" t="s">
        <v>15</v>
      </c>
      <c r="G606" s="1" t="s">
        <v>16</v>
      </c>
      <c r="H606" s="1" t="s">
        <v>17</v>
      </c>
      <c r="I606" s="4">
        <v>4094.68</v>
      </c>
      <c r="J606" s="4">
        <v>4576.5</v>
      </c>
      <c r="K606">
        <v>7</v>
      </c>
      <c r="L606" s="3">
        <v>0.3</v>
      </c>
      <c r="M606" s="4">
        <v>28662.76</v>
      </c>
      <c r="N606" s="4">
        <v>32033.4</v>
      </c>
      <c r="O606" s="4">
        <v>3370.64</v>
      </c>
      <c r="P606" s="3">
        <v>0.105222673834186</v>
      </c>
    </row>
    <row r="607" spans="1:16" x14ac:dyDescent="0.3">
      <c r="A607">
        <v>1003</v>
      </c>
      <c r="B607" s="2">
        <v>45073</v>
      </c>
      <c r="C607" s="1" t="s">
        <v>12</v>
      </c>
      <c r="D607" s="1" t="s">
        <v>13</v>
      </c>
      <c r="E607" s="1" t="s">
        <v>14</v>
      </c>
      <c r="F607" s="1" t="s">
        <v>15</v>
      </c>
      <c r="G607" s="1" t="s">
        <v>21</v>
      </c>
      <c r="H607" s="1" t="s">
        <v>29</v>
      </c>
      <c r="I607" s="4">
        <v>310.95999999999998</v>
      </c>
      <c r="J607" s="4">
        <v>457.84</v>
      </c>
      <c r="K607">
        <v>39</v>
      </c>
      <c r="L607" s="3">
        <v>0.03</v>
      </c>
      <c r="M607" s="4">
        <v>12127.44</v>
      </c>
      <c r="N607" s="4">
        <v>17854.59</v>
      </c>
      <c r="O607" s="4">
        <v>5727.15</v>
      </c>
      <c r="P607" s="3">
        <v>0.320766256744064</v>
      </c>
    </row>
    <row r="608" spans="1:16" x14ac:dyDescent="0.3">
      <c r="A608">
        <v>1069</v>
      </c>
      <c r="B608" s="2">
        <v>45073</v>
      </c>
      <c r="C608" s="1" t="s">
        <v>31</v>
      </c>
      <c r="D608" s="1" t="s">
        <v>19</v>
      </c>
      <c r="E608" s="1" t="s">
        <v>28</v>
      </c>
      <c r="F608" s="1" t="s">
        <v>20</v>
      </c>
      <c r="G608" s="1" t="s">
        <v>21</v>
      </c>
      <c r="H608" s="1" t="s">
        <v>29</v>
      </c>
      <c r="I608" s="4">
        <v>1084.73</v>
      </c>
      <c r="J608" s="4">
        <v>1420.9</v>
      </c>
      <c r="K608">
        <v>44</v>
      </c>
      <c r="L608" s="3">
        <v>0.05</v>
      </c>
      <c r="M608" s="4">
        <v>47728.12</v>
      </c>
      <c r="N608" s="4">
        <v>62517.4</v>
      </c>
      <c r="O608" s="4">
        <v>14789.28</v>
      </c>
      <c r="P608" s="3">
        <v>0.236562620966323</v>
      </c>
    </row>
    <row r="609" spans="1:16" x14ac:dyDescent="0.3">
      <c r="A609">
        <v>1074</v>
      </c>
      <c r="B609" s="2">
        <v>45073</v>
      </c>
      <c r="C609" s="1" t="s">
        <v>12</v>
      </c>
      <c r="D609" s="1" t="s">
        <v>19</v>
      </c>
      <c r="E609" s="1" t="s">
        <v>22</v>
      </c>
      <c r="F609" s="1" t="s">
        <v>15</v>
      </c>
      <c r="G609" s="1" t="s">
        <v>25</v>
      </c>
      <c r="H609" s="1" t="s">
        <v>17</v>
      </c>
      <c r="I609" s="4">
        <v>3173.69</v>
      </c>
      <c r="J609" s="4">
        <v>3503.11</v>
      </c>
      <c r="K609">
        <v>2</v>
      </c>
      <c r="L609" s="3">
        <v>0.2</v>
      </c>
      <c r="M609" s="4">
        <v>6347.38</v>
      </c>
      <c r="N609" s="4">
        <v>7005.82</v>
      </c>
      <c r="O609" s="4">
        <v>658.44</v>
      </c>
      <c r="P609" s="3">
        <v>9.3984715565058802E-2</v>
      </c>
    </row>
    <row r="610" spans="1:16" x14ac:dyDescent="0.3">
      <c r="A610">
        <v>1042</v>
      </c>
      <c r="B610" s="2">
        <v>45072</v>
      </c>
      <c r="C610" s="1" t="s">
        <v>23</v>
      </c>
      <c r="D610" s="1" t="s">
        <v>13</v>
      </c>
      <c r="E610" s="1" t="s">
        <v>28</v>
      </c>
      <c r="F610" s="1" t="s">
        <v>15</v>
      </c>
      <c r="G610" s="1" t="s">
        <v>21</v>
      </c>
      <c r="H610" s="1" t="s">
        <v>17</v>
      </c>
      <c r="I610" s="4">
        <v>1406.24</v>
      </c>
      <c r="J610" s="4">
        <v>1535.57</v>
      </c>
      <c r="K610">
        <v>1</v>
      </c>
      <c r="L610" s="3">
        <v>0.08</v>
      </c>
      <c r="M610" s="4">
        <v>1406.24</v>
      </c>
      <c r="N610" s="4">
        <v>1535.49</v>
      </c>
      <c r="O610" s="4">
        <v>129.25</v>
      </c>
      <c r="P610" s="3">
        <v>8.4175084175084194E-2</v>
      </c>
    </row>
    <row r="611" spans="1:16" x14ac:dyDescent="0.3">
      <c r="A611">
        <v>1082</v>
      </c>
      <c r="B611" s="2">
        <v>45072</v>
      </c>
      <c r="C611" s="1" t="s">
        <v>18</v>
      </c>
      <c r="D611" s="1" t="s">
        <v>27</v>
      </c>
      <c r="E611" s="1" t="s">
        <v>24</v>
      </c>
      <c r="F611" s="1" t="s">
        <v>20</v>
      </c>
      <c r="G611" s="1" t="s">
        <v>21</v>
      </c>
      <c r="H611" s="1" t="s">
        <v>29</v>
      </c>
      <c r="I611" s="4">
        <v>1349.3</v>
      </c>
      <c r="J611" s="4">
        <v>1576.69</v>
      </c>
      <c r="K611">
        <v>2</v>
      </c>
      <c r="L611" s="3">
        <v>0.12</v>
      </c>
      <c r="M611" s="4">
        <v>2698.6</v>
      </c>
      <c r="N611" s="4">
        <v>3153.14</v>
      </c>
      <c r="O611" s="4">
        <v>454.54</v>
      </c>
      <c r="P611" s="3">
        <v>0.14415471561681401</v>
      </c>
    </row>
    <row r="612" spans="1:16" x14ac:dyDescent="0.3">
      <c r="A612">
        <v>1005</v>
      </c>
      <c r="B612" s="2">
        <v>45071</v>
      </c>
      <c r="C612" s="1" t="s">
        <v>12</v>
      </c>
      <c r="D612" s="1" t="s">
        <v>30</v>
      </c>
      <c r="E612" s="1" t="s">
        <v>14</v>
      </c>
      <c r="F612" s="1" t="s">
        <v>20</v>
      </c>
      <c r="G612" s="1" t="s">
        <v>25</v>
      </c>
      <c r="H612" s="1" t="s">
        <v>17</v>
      </c>
      <c r="I612" s="4">
        <v>1392.15</v>
      </c>
      <c r="J612" s="4">
        <v>1448.54</v>
      </c>
      <c r="K612">
        <v>2</v>
      </c>
      <c r="L612" s="3">
        <v>0.02</v>
      </c>
      <c r="M612" s="4">
        <v>2784.3</v>
      </c>
      <c r="N612" s="4">
        <v>2897.04</v>
      </c>
      <c r="O612" s="4">
        <v>112.74</v>
      </c>
      <c r="P612" s="3">
        <v>3.8915582801756297E-2</v>
      </c>
    </row>
    <row r="613" spans="1:16" x14ac:dyDescent="0.3">
      <c r="A613">
        <v>1091</v>
      </c>
      <c r="B613" s="2">
        <v>45071</v>
      </c>
      <c r="C613" s="1" t="s">
        <v>26</v>
      </c>
      <c r="D613" s="1" t="s">
        <v>30</v>
      </c>
      <c r="E613" s="1" t="s">
        <v>14</v>
      </c>
      <c r="F613" s="1" t="s">
        <v>15</v>
      </c>
      <c r="G613" s="1" t="s">
        <v>25</v>
      </c>
      <c r="H613" s="1" t="s">
        <v>17</v>
      </c>
      <c r="I613" s="4">
        <v>3639.3</v>
      </c>
      <c r="J613" s="4">
        <v>3750.63</v>
      </c>
      <c r="K613">
        <v>24</v>
      </c>
      <c r="L613" s="3">
        <v>0.23</v>
      </c>
      <c r="M613" s="4">
        <v>87343.2</v>
      </c>
      <c r="N613" s="4">
        <v>90009.600000000006</v>
      </c>
      <c r="O613" s="4">
        <v>2666.4</v>
      </c>
      <c r="P613" s="3">
        <v>2.96235068259386E-2</v>
      </c>
    </row>
    <row r="614" spans="1:16" x14ac:dyDescent="0.3">
      <c r="A614">
        <v>1092</v>
      </c>
      <c r="B614" s="2">
        <v>45071</v>
      </c>
      <c r="C614" s="1" t="s">
        <v>23</v>
      </c>
      <c r="D614" s="1" t="s">
        <v>13</v>
      </c>
      <c r="E614" s="1" t="s">
        <v>22</v>
      </c>
      <c r="F614" s="1" t="s">
        <v>15</v>
      </c>
      <c r="G614" s="1" t="s">
        <v>25</v>
      </c>
      <c r="H614" s="1" t="s">
        <v>29</v>
      </c>
      <c r="I614" s="4">
        <v>668.11</v>
      </c>
      <c r="J614" s="4">
        <v>803.49</v>
      </c>
      <c r="K614">
        <v>20</v>
      </c>
      <c r="L614" s="3">
        <v>0.21</v>
      </c>
      <c r="M614" s="4">
        <v>13362.2</v>
      </c>
      <c r="N614" s="4">
        <v>16065.6</v>
      </c>
      <c r="O614" s="4">
        <v>2703.4</v>
      </c>
      <c r="P614" s="3">
        <v>0.16827258241210999</v>
      </c>
    </row>
    <row r="615" spans="1:16" x14ac:dyDescent="0.3">
      <c r="A615">
        <v>1019</v>
      </c>
      <c r="B615" s="2">
        <v>45070</v>
      </c>
      <c r="C615" s="1" t="s">
        <v>12</v>
      </c>
      <c r="D615" s="1" t="s">
        <v>27</v>
      </c>
      <c r="E615" s="1" t="s">
        <v>22</v>
      </c>
      <c r="F615" s="1" t="s">
        <v>15</v>
      </c>
      <c r="G615" s="1" t="s">
        <v>16</v>
      </c>
      <c r="H615" s="1" t="s">
        <v>29</v>
      </c>
      <c r="I615" s="4">
        <v>3102.73</v>
      </c>
      <c r="J615" s="4">
        <v>3202.68</v>
      </c>
      <c r="K615">
        <v>13</v>
      </c>
      <c r="L615" s="3">
        <v>0.09</v>
      </c>
      <c r="M615" s="4">
        <v>40335.49</v>
      </c>
      <c r="N615" s="4">
        <v>41633.67</v>
      </c>
      <c r="O615" s="4">
        <v>1298.18</v>
      </c>
      <c r="P615" s="3">
        <v>3.11810128677102E-2</v>
      </c>
    </row>
    <row r="616" spans="1:16" x14ac:dyDescent="0.3">
      <c r="A616">
        <v>1044</v>
      </c>
      <c r="B616" s="2">
        <v>45069</v>
      </c>
      <c r="C616" s="1" t="s">
        <v>23</v>
      </c>
      <c r="D616" s="1" t="s">
        <v>19</v>
      </c>
      <c r="E616" s="1" t="s">
        <v>22</v>
      </c>
      <c r="F616" s="1" t="s">
        <v>15</v>
      </c>
      <c r="G616" s="1" t="s">
        <v>25</v>
      </c>
      <c r="H616" s="1" t="s">
        <v>29</v>
      </c>
      <c r="I616" s="4">
        <v>2182.75</v>
      </c>
      <c r="J616" s="4">
        <v>2504.0300000000002</v>
      </c>
      <c r="K616">
        <v>19</v>
      </c>
      <c r="L616" s="3">
        <v>0.01</v>
      </c>
      <c r="M616" s="4">
        <v>41472.25</v>
      </c>
      <c r="N616" s="4">
        <v>47576.38</v>
      </c>
      <c r="O616" s="4">
        <v>6104.13</v>
      </c>
      <c r="P616" s="3">
        <v>0.128301690881063</v>
      </c>
    </row>
    <row r="617" spans="1:16" x14ac:dyDescent="0.3">
      <c r="A617">
        <v>1067</v>
      </c>
      <c r="B617" s="2">
        <v>45069</v>
      </c>
      <c r="C617" s="1" t="s">
        <v>23</v>
      </c>
      <c r="D617" s="1" t="s">
        <v>30</v>
      </c>
      <c r="E617" s="1" t="s">
        <v>24</v>
      </c>
      <c r="F617" s="1" t="s">
        <v>20</v>
      </c>
      <c r="G617" s="1" t="s">
        <v>16</v>
      </c>
      <c r="H617" s="1" t="s">
        <v>29</v>
      </c>
      <c r="I617" s="4">
        <v>2628.38</v>
      </c>
      <c r="J617" s="4">
        <v>2644.54</v>
      </c>
      <c r="K617">
        <v>49</v>
      </c>
      <c r="L617" s="3">
        <v>0.11</v>
      </c>
      <c r="M617" s="4">
        <v>128790.62</v>
      </c>
      <c r="N617" s="4">
        <v>129577.07</v>
      </c>
      <c r="O617" s="4">
        <v>786.45</v>
      </c>
      <c r="P617" s="3">
        <v>6.0693608830636502E-3</v>
      </c>
    </row>
    <row r="618" spans="1:16" x14ac:dyDescent="0.3">
      <c r="A618">
        <v>1100</v>
      </c>
      <c r="B618" s="2">
        <v>45069</v>
      </c>
      <c r="C618" s="1" t="s">
        <v>23</v>
      </c>
      <c r="D618" s="1" t="s">
        <v>19</v>
      </c>
      <c r="E618" s="1" t="s">
        <v>22</v>
      </c>
      <c r="F618" s="1" t="s">
        <v>20</v>
      </c>
      <c r="G618" s="1" t="s">
        <v>16</v>
      </c>
      <c r="H618" s="1" t="s">
        <v>17</v>
      </c>
      <c r="I618" s="4">
        <v>3559.56</v>
      </c>
      <c r="J618" s="4">
        <v>3607.15</v>
      </c>
      <c r="K618">
        <v>29</v>
      </c>
      <c r="L618" s="3">
        <v>0.21</v>
      </c>
      <c r="M618" s="4">
        <v>103227.24</v>
      </c>
      <c r="N618" s="4">
        <v>104601.26</v>
      </c>
      <c r="O618" s="4">
        <v>1374.02</v>
      </c>
      <c r="P618" s="3">
        <v>1.3135788230466801E-2</v>
      </c>
    </row>
    <row r="619" spans="1:16" x14ac:dyDescent="0.3">
      <c r="A619">
        <v>1035</v>
      </c>
      <c r="B619" s="2">
        <v>45068</v>
      </c>
      <c r="C619" s="1" t="s">
        <v>26</v>
      </c>
      <c r="D619" s="1" t="s">
        <v>27</v>
      </c>
      <c r="E619" s="1" t="s">
        <v>22</v>
      </c>
      <c r="F619" s="1" t="s">
        <v>15</v>
      </c>
      <c r="G619" s="1" t="s">
        <v>21</v>
      </c>
      <c r="H619" s="1" t="s">
        <v>17</v>
      </c>
      <c r="I619" s="4">
        <v>4132.79</v>
      </c>
      <c r="J619" s="4">
        <v>4624.1000000000004</v>
      </c>
      <c r="K619">
        <v>45</v>
      </c>
      <c r="L619" s="3">
        <v>0.15</v>
      </c>
      <c r="M619" s="4">
        <v>185975.55</v>
      </c>
      <c r="N619" s="4">
        <v>208077.75</v>
      </c>
      <c r="O619" s="4">
        <v>22102.2</v>
      </c>
      <c r="P619" s="3">
        <v>0.10622087176548201</v>
      </c>
    </row>
    <row r="620" spans="1:16" x14ac:dyDescent="0.3">
      <c r="A620">
        <v>1049</v>
      </c>
      <c r="B620" s="2">
        <v>45068</v>
      </c>
      <c r="C620" s="1" t="s">
        <v>23</v>
      </c>
      <c r="D620" s="1" t="s">
        <v>13</v>
      </c>
      <c r="E620" s="1" t="s">
        <v>14</v>
      </c>
      <c r="F620" s="1" t="s">
        <v>20</v>
      </c>
      <c r="G620" s="1" t="s">
        <v>16</v>
      </c>
      <c r="H620" s="1" t="s">
        <v>29</v>
      </c>
      <c r="I620" s="4">
        <v>3316.97</v>
      </c>
      <c r="J620" s="4">
        <v>3544.02</v>
      </c>
      <c r="K620">
        <v>19</v>
      </c>
      <c r="L620" s="3">
        <v>0.14000000000000001</v>
      </c>
      <c r="M620" s="4">
        <v>63022.43</v>
      </c>
      <c r="N620" s="4">
        <v>67333.72</v>
      </c>
      <c r="O620" s="4">
        <v>4311.29</v>
      </c>
      <c r="P620" s="3">
        <v>6.4028691716423794E-2</v>
      </c>
    </row>
    <row r="621" spans="1:16" x14ac:dyDescent="0.3">
      <c r="A621">
        <v>1002</v>
      </c>
      <c r="B621" s="2">
        <v>45067</v>
      </c>
      <c r="C621" s="1" t="s">
        <v>31</v>
      </c>
      <c r="D621" s="1" t="s">
        <v>19</v>
      </c>
      <c r="E621" s="1" t="s">
        <v>14</v>
      </c>
      <c r="F621" s="1" t="s">
        <v>20</v>
      </c>
      <c r="G621" s="1" t="s">
        <v>16</v>
      </c>
      <c r="H621" s="1" t="s">
        <v>29</v>
      </c>
      <c r="I621" s="4">
        <v>2041.42</v>
      </c>
      <c r="J621" s="4">
        <v>2291.17</v>
      </c>
      <c r="K621">
        <v>26</v>
      </c>
      <c r="L621" s="3">
        <v>0.28000000000000003</v>
      </c>
      <c r="M621" s="4">
        <v>53076.92</v>
      </c>
      <c r="N621" s="4">
        <v>59563.14</v>
      </c>
      <c r="O621" s="4">
        <v>6486.22</v>
      </c>
      <c r="P621" s="3">
        <v>0.108896542391822</v>
      </c>
    </row>
    <row r="622" spans="1:16" x14ac:dyDescent="0.3">
      <c r="A622">
        <v>1008</v>
      </c>
      <c r="B622" s="2">
        <v>45067</v>
      </c>
      <c r="C622" s="1" t="s">
        <v>18</v>
      </c>
      <c r="D622" s="1" t="s">
        <v>13</v>
      </c>
      <c r="E622" s="1" t="s">
        <v>24</v>
      </c>
      <c r="F622" s="1" t="s">
        <v>15</v>
      </c>
      <c r="G622" s="1" t="s">
        <v>16</v>
      </c>
      <c r="H622" s="1" t="s">
        <v>29</v>
      </c>
      <c r="I622" s="4">
        <v>1712.43</v>
      </c>
      <c r="J622" s="4">
        <v>1980.06</v>
      </c>
      <c r="K622">
        <v>37</v>
      </c>
      <c r="L622" s="3">
        <v>0.26</v>
      </c>
      <c r="M622" s="4">
        <v>63359.91</v>
      </c>
      <c r="N622" s="4">
        <v>73252.600000000006</v>
      </c>
      <c r="O622" s="4">
        <v>9892.69</v>
      </c>
      <c r="P622" s="3">
        <v>0.13504899484796401</v>
      </c>
    </row>
    <row r="623" spans="1:16" x14ac:dyDescent="0.3">
      <c r="A623">
        <v>1059</v>
      </c>
      <c r="B623" s="2">
        <v>45067</v>
      </c>
      <c r="C623" s="1" t="s">
        <v>26</v>
      </c>
      <c r="D623" s="1" t="s">
        <v>30</v>
      </c>
      <c r="E623" s="1" t="s">
        <v>28</v>
      </c>
      <c r="F623" s="1" t="s">
        <v>20</v>
      </c>
      <c r="G623" s="1" t="s">
        <v>16</v>
      </c>
      <c r="H623" s="1" t="s">
        <v>17</v>
      </c>
      <c r="I623" s="4">
        <v>4146.99</v>
      </c>
      <c r="J623" s="4">
        <v>4172.3500000000004</v>
      </c>
      <c r="K623">
        <v>37</v>
      </c>
      <c r="L623" s="3">
        <v>0.06</v>
      </c>
      <c r="M623" s="4">
        <v>153438.63</v>
      </c>
      <c r="N623" s="4">
        <v>154374.73000000001</v>
      </c>
      <c r="O623" s="4">
        <v>936.1</v>
      </c>
      <c r="P623" s="3">
        <v>6.0638162735572104E-3</v>
      </c>
    </row>
    <row r="624" spans="1:16" x14ac:dyDescent="0.3">
      <c r="A624">
        <v>1012</v>
      </c>
      <c r="B624" s="2">
        <v>45066</v>
      </c>
      <c r="C624" s="1" t="s">
        <v>23</v>
      </c>
      <c r="D624" s="1" t="s">
        <v>30</v>
      </c>
      <c r="E624" s="1" t="s">
        <v>22</v>
      </c>
      <c r="F624" s="1" t="s">
        <v>20</v>
      </c>
      <c r="G624" s="1" t="s">
        <v>16</v>
      </c>
      <c r="H624" s="1" t="s">
        <v>17</v>
      </c>
      <c r="I624" s="4">
        <v>3466.11</v>
      </c>
      <c r="J624" s="4">
        <v>3799.67</v>
      </c>
      <c r="K624">
        <v>16</v>
      </c>
      <c r="L624" s="3">
        <v>0.01</v>
      </c>
      <c r="M624" s="4">
        <v>55457.760000000002</v>
      </c>
      <c r="N624" s="4">
        <v>60794.559999999998</v>
      </c>
      <c r="O624" s="4">
        <v>5336.8</v>
      </c>
      <c r="P624" s="3">
        <v>8.7784170162593503E-2</v>
      </c>
    </row>
    <row r="625" spans="1:16" x14ac:dyDescent="0.3">
      <c r="A625">
        <v>1071</v>
      </c>
      <c r="B625" s="2">
        <v>45066</v>
      </c>
      <c r="C625" s="1" t="s">
        <v>12</v>
      </c>
      <c r="D625" s="1" t="s">
        <v>19</v>
      </c>
      <c r="E625" s="1" t="s">
        <v>24</v>
      </c>
      <c r="F625" s="1" t="s">
        <v>20</v>
      </c>
      <c r="G625" s="1" t="s">
        <v>25</v>
      </c>
      <c r="H625" s="1" t="s">
        <v>17</v>
      </c>
      <c r="I625" s="4">
        <v>2831.23</v>
      </c>
      <c r="J625" s="4">
        <v>3206.98</v>
      </c>
      <c r="K625">
        <v>6</v>
      </c>
      <c r="L625" s="3">
        <v>0.06</v>
      </c>
      <c r="M625" s="4">
        <v>16987.38</v>
      </c>
      <c r="N625" s="4">
        <v>19241.52</v>
      </c>
      <c r="O625" s="4">
        <v>2254.14</v>
      </c>
      <c r="P625" s="3">
        <v>0.11714978858219099</v>
      </c>
    </row>
    <row r="626" spans="1:16" x14ac:dyDescent="0.3">
      <c r="A626">
        <v>1050</v>
      </c>
      <c r="B626" s="2">
        <v>45065</v>
      </c>
      <c r="C626" s="1" t="s">
        <v>31</v>
      </c>
      <c r="D626" s="1" t="s">
        <v>13</v>
      </c>
      <c r="E626" s="1" t="s">
        <v>14</v>
      </c>
      <c r="F626" s="1" t="s">
        <v>20</v>
      </c>
      <c r="G626" s="1" t="s">
        <v>25</v>
      </c>
      <c r="H626" s="1" t="s">
        <v>17</v>
      </c>
      <c r="I626" s="4">
        <v>2158.69</v>
      </c>
      <c r="J626" s="4">
        <v>2384.38</v>
      </c>
      <c r="K626">
        <v>35</v>
      </c>
      <c r="L626" s="3">
        <v>0.09</v>
      </c>
      <c r="M626" s="4">
        <v>75554.149999999994</v>
      </c>
      <c r="N626" s="4">
        <v>83450.149999999994</v>
      </c>
      <c r="O626" s="4">
        <v>7896</v>
      </c>
      <c r="P626" s="3">
        <v>9.4619362577538793E-2</v>
      </c>
    </row>
    <row r="627" spans="1:16" x14ac:dyDescent="0.3">
      <c r="A627">
        <v>1063</v>
      </c>
      <c r="B627" s="2">
        <v>45064</v>
      </c>
      <c r="C627" s="1" t="s">
        <v>23</v>
      </c>
      <c r="D627" s="1" t="s">
        <v>19</v>
      </c>
      <c r="E627" s="1" t="s">
        <v>22</v>
      </c>
      <c r="F627" s="1" t="s">
        <v>20</v>
      </c>
      <c r="G627" s="1" t="s">
        <v>16</v>
      </c>
      <c r="H627" s="1" t="s">
        <v>17</v>
      </c>
      <c r="I627" s="4">
        <v>3577.69</v>
      </c>
      <c r="J627" s="4">
        <v>3931.25</v>
      </c>
      <c r="K627">
        <v>39</v>
      </c>
      <c r="L627" s="3">
        <v>0.21</v>
      </c>
      <c r="M627" s="4">
        <v>139529.91</v>
      </c>
      <c r="N627" s="4">
        <v>153310.56</v>
      </c>
      <c r="O627" s="4">
        <v>13780.65</v>
      </c>
      <c r="P627" s="3">
        <v>8.9887154544344497E-2</v>
      </c>
    </row>
    <row r="628" spans="1:16" x14ac:dyDescent="0.3">
      <c r="A628">
        <v>1004</v>
      </c>
      <c r="B628" s="2">
        <v>45063</v>
      </c>
      <c r="C628" s="1" t="s">
        <v>26</v>
      </c>
      <c r="D628" s="1" t="s">
        <v>30</v>
      </c>
      <c r="E628" s="1" t="s">
        <v>22</v>
      </c>
      <c r="F628" s="1" t="s">
        <v>15</v>
      </c>
      <c r="G628" s="1" t="s">
        <v>16</v>
      </c>
      <c r="H628" s="1" t="s">
        <v>29</v>
      </c>
      <c r="I628" s="4">
        <v>3981.2</v>
      </c>
      <c r="J628" s="4">
        <v>4432.3500000000004</v>
      </c>
      <c r="K628">
        <v>36</v>
      </c>
      <c r="L628" s="3">
        <v>0.14000000000000001</v>
      </c>
      <c r="M628" s="4">
        <v>143323.20000000001</v>
      </c>
      <c r="N628" s="4">
        <v>159559.56</v>
      </c>
      <c r="O628" s="4">
        <v>16236.36</v>
      </c>
      <c r="P628" s="3">
        <v>0.101757362579842</v>
      </c>
    </row>
    <row r="629" spans="1:16" x14ac:dyDescent="0.3">
      <c r="A629">
        <v>1049</v>
      </c>
      <c r="B629" s="2">
        <v>45063</v>
      </c>
      <c r="C629" s="1" t="s">
        <v>26</v>
      </c>
      <c r="D629" s="1" t="s">
        <v>19</v>
      </c>
      <c r="E629" s="1" t="s">
        <v>24</v>
      </c>
      <c r="F629" s="1" t="s">
        <v>20</v>
      </c>
      <c r="G629" s="1" t="s">
        <v>25</v>
      </c>
      <c r="H629" s="1" t="s">
        <v>29</v>
      </c>
      <c r="I629" s="4">
        <v>3290.89</v>
      </c>
      <c r="J629" s="4">
        <v>3317.75</v>
      </c>
      <c r="K629">
        <v>1</v>
      </c>
      <c r="L629" s="3">
        <v>0.17</v>
      </c>
      <c r="M629" s="4">
        <v>3290.89</v>
      </c>
      <c r="N629" s="4">
        <v>3317.58</v>
      </c>
      <c r="O629" s="4">
        <v>26.69</v>
      </c>
      <c r="P629" s="3">
        <v>8.0450207681502794E-3</v>
      </c>
    </row>
    <row r="630" spans="1:16" x14ac:dyDescent="0.3">
      <c r="A630">
        <v>1050</v>
      </c>
      <c r="B630" s="2">
        <v>45063</v>
      </c>
      <c r="C630" s="1" t="s">
        <v>23</v>
      </c>
      <c r="D630" s="1" t="s">
        <v>30</v>
      </c>
      <c r="E630" s="1" t="s">
        <v>24</v>
      </c>
      <c r="F630" s="1" t="s">
        <v>20</v>
      </c>
      <c r="G630" s="1" t="s">
        <v>21</v>
      </c>
      <c r="H630" s="1" t="s">
        <v>17</v>
      </c>
      <c r="I630" s="4">
        <v>112.35</v>
      </c>
      <c r="J630" s="4">
        <v>586.17999999999995</v>
      </c>
      <c r="K630">
        <v>45</v>
      </c>
      <c r="L630" s="3">
        <v>0.28000000000000003</v>
      </c>
      <c r="M630" s="4">
        <v>5055.75</v>
      </c>
      <c r="N630" s="4">
        <v>26365.5</v>
      </c>
      <c r="O630" s="4">
        <v>21309.75</v>
      </c>
      <c r="P630" s="3">
        <v>0.808243727598566</v>
      </c>
    </row>
    <row r="631" spans="1:16" x14ac:dyDescent="0.3">
      <c r="A631">
        <v>1053</v>
      </c>
      <c r="B631" s="2">
        <v>45063</v>
      </c>
      <c r="C631" s="1" t="s">
        <v>23</v>
      </c>
      <c r="D631" s="1" t="s">
        <v>27</v>
      </c>
      <c r="E631" s="1" t="s">
        <v>14</v>
      </c>
      <c r="F631" s="1" t="s">
        <v>15</v>
      </c>
      <c r="G631" s="1" t="s">
        <v>16</v>
      </c>
      <c r="H631" s="1" t="s">
        <v>17</v>
      </c>
      <c r="I631" s="4">
        <v>4252.17</v>
      </c>
      <c r="J631" s="4">
        <v>4720.2700000000004</v>
      </c>
      <c r="K631">
        <v>36</v>
      </c>
      <c r="L631" s="3">
        <v>0.09</v>
      </c>
      <c r="M631" s="4">
        <v>153078.12</v>
      </c>
      <c r="N631" s="4">
        <v>169926.48</v>
      </c>
      <c r="O631" s="4">
        <v>16848.36</v>
      </c>
      <c r="P631" s="3">
        <v>9.9150879839328201E-2</v>
      </c>
    </row>
    <row r="632" spans="1:16" x14ac:dyDescent="0.3">
      <c r="A632">
        <v>1056</v>
      </c>
      <c r="B632" s="2">
        <v>45063</v>
      </c>
      <c r="C632" s="1" t="s">
        <v>18</v>
      </c>
      <c r="D632" s="1" t="s">
        <v>19</v>
      </c>
      <c r="E632" s="1" t="s">
        <v>24</v>
      </c>
      <c r="F632" s="1" t="s">
        <v>20</v>
      </c>
      <c r="G632" s="1" t="s">
        <v>16</v>
      </c>
      <c r="H632" s="1" t="s">
        <v>17</v>
      </c>
      <c r="I632" s="4">
        <v>2461.6999999999998</v>
      </c>
      <c r="J632" s="4">
        <v>2529.02</v>
      </c>
      <c r="K632">
        <v>47</v>
      </c>
      <c r="L632" s="3">
        <v>0.22</v>
      </c>
      <c r="M632" s="4">
        <v>115699.9</v>
      </c>
      <c r="N632" s="4">
        <v>118853.6</v>
      </c>
      <c r="O632" s="4">
        <v>3153.7</v>
      </c>
      <c r="P632" s="3">
        <v>2.65343245808288E-2</v>
      </c>
    </row>
    <row r="633" spans="1:16" x14ac:dyDescent="0.3">
      <c r="A633">
        <v>1062</v>
      </c>
      <c r="B633" s="2">
        <v>45062</v>
      </c>
      <c r="C633" s="1" t="s">
        <v>31</v>
      </c>
      <c r="D633" s="1" t="s">
        <v>30</v>
      </c>
      <c r="E633" s="1" t="s">
        <v>24</v>
      </c>
      <c r="F633" s="1" t="s">
        <v>15</v>
      </c>
      <c r="G633" s="1" t="s">
        <v>16</v>
      </c>
      <c r="H633" s="1" t="s">
        <v>17</v>
      </c>
      <c r="I633" s="4">
        <v>159.32</v>
      </c>
      <c r="J633" s="4">
        <v>303.36</v>
      </c>
      <c r="K633">
        <v>46</v>
      </c>
      <c r="L633" s="3">
        <v>0.03</v>
      </c>
      <c r="M633" s="4">
        <v>7328.72</v>
      </c>
      <c r="N633" s="4">
        <v>13953.18</v>
      </c>
      <c r="O633" s="4">
        <v>6624.46</v>
      </c>
      <c r="P633" s="3">
        <v>0.47476345893910898</v>
      </c>
    </row>
    <row r="634" spans="1:16" x14ac:dyDescent="0.3">
      <c r="A634">
        <v>1001</v>
      </c>
      <c r="B634" s="2">
        <v>45060</v>
      </c>
      <c r="C634" s="1" t="s">
        <v>12</v>
      </c>
      <c r="D634" s="1" t="s">
        <v>27</v>
      </c>
      <c r="E634" s="1" t="s">
        <v>28</v>
      </c>
      <c r="F634" s="1" t="s">
        <v>15</v>
      </c>
      <c r="G634" s="1" t="s">
        <v>25</v>
      </c>
      <c r="H634" s="1" t="s">
        <v>29</v>
      </c>
      <c r="I634" s="4">
        <v>2745.75</v>
      </c>
      <c r="J634" s="4">
        <v>3244.76</v>
      </c>
      <c r="K634">
        <v>35</v>
      </c>
      <c r="L634" s="3">
        <v>0.05</v>
      </c>
      <c r="M634" s="4">
        <v>96101.25</v>
      </c>
      <c r="N634" s="4">
        <v>113564.85</v>
      </c>
      <c r="O634" s="4">
        <v>17463.599999999999</v>
      </c>
      <c r="P634" s="3">
        <v>0.153776454598408</v>
      </c>
    </row>
    <row r="635" spans="1:16" x14ac:dyDescent="0.3">
      <c r="A635">
        <v>1009</v>
      </c>
      <c r="B635" s="2">
        <v>45060</v>
      </c>
      <c r="C635" s="1" t="s">
        <v>18</v>
      </c>
      <c r="D635" s="1" t="s">
        <v>19</v>
      </c>
      <c r="E635" s="1" t="s">
        <v>24</v>
      </c>
      <c r="F635" s="1" t="s">
        <v>20</v>
      </c>
      <c r="G635" s="1" t="s">
        <v>21</v>
      </c>
      <c r="H635" s="1" t="s">
        <v>17</v>
      </c>
      <c r="I635" s="4">
        <v>2799.71</v>
      </c>
      <c r="J635" s="4">
        <v>3231.08</v>
      </c>
      <c r="K635">
        <v>40</v>
      </c>
      <c r="L635" s="3">
        <v>0.28999999999999998</v>
      </c>
      <c r="M635" s="4">
        <v>111988.4</v>
      </c>
      <c r="N635" s="4">
        <v>129231.6</v>
      </c>
      <c r="O635" s="4">
        <v>17243.2</v>
      </c>
      <c r="P635" s="3">
        <v>0.13342866605381301</v>
      </c>
    </row>
    <row r="636" spans="1:16" x14ac:dyDescent="0.3">
      <c r="A636">
        <v>1049</v>
      </c>
      <c r="B636" s="2">
        <v>45060</v>
      </c>
      <c r="C636" s="1" t="s">
        <v>12</v>
      </c>
      <c r="D636" s="1" t="s">
        <v>27</v>
      </c>
      <c r="E636" s="1" t="s">
        <v>28</v>
      </c>
      <c r="F636" s="1" t="s">
        <v>15</v>
      </c>
      <c r="G636" s="1" t="s">
        <v>16</v>
      </c>
      <c r="H636" s="1" t="s">
        <v>29</v>
      </c>
      <c r="I636" s="4">
        <v>4573.6899999999996</v>
      </c>
      <c r="J636" s="4">
        <v>4820.3</v>
      </c>
      <c r="K636">
        <v>22</v>
      </c>
      <c r="L636" s="3">
        <v>0.04</v>
      </c>
      <c r="M636" s="4">
        <v>100621.18</v>
      </c>
      <c r="N636" s="4">
        <v>106045.72</v>
      </c>
      <c r="O636" s="4">
        <v>5424.54</v>
      </c>
      <c r="P636" s="3">
        <v>5.1152842377796999E-2</v>
      </c>
    </row>
    <row r="637" spans="1:16" x14ac:dyDescent="0.3">
      <c r="A637">
        <v>1064</v>
      </c>
      <c r="B637" s="2">
        <v>45060</v>
      </c>
      <c r="C637" s="1" t="s">
        <v>23</v>
      </c>
      <c r="D637" s="1" t="s">
        <v>27</v>
      </c>
      <c r="E637" s="1" t="s">
        <v>28</v>
      </c>
      <c r="F637" s="1" t="s">
        <v>20</v>
      </c>
      <c r="G637" s="1" t="s">
        <v>16</v>
      </c>
      <c r="H637" s="1" t="s">
        <v>29</v>
      </c>
      <c r="I637" s="4">
        <v>4271.99</v>
      </c>
      <c r="J637" s="4">
        <v>4417.79</v>
      </c>
      <c r="K637">
        <v>8</v>
      </c>
      <c r="L637" s="3">
        <v>0.04</v>
      </c>
      <c r="M637" s="4">
        <v>34175.919999999998</v>
      </c>
      <c r="N637" s="4">
        <v>35342</v>
      </c>
      <c r="O637" s="4">
        <v>1166.08</v>
      </c>
      <c r="P637" s="3">
        <v>3.2994171241016397E-2</v>
      </c>
    </row>
    <row r="638" spans="1:16" x14ac:dyDescent="0.3">
      <c r="A638">
        <v>1087</v>
      </c>
      <c r="B638" s="2">
        <v>45060</v>
      </c>
      <c r="C638" s="1" t="s">
        <v>31</v>
      </c>
      <c r="D638" s="1" t="s">
        <v>19</v>
      </c>
      <c r="E638" s="1" t="s">
        <v>28</v>
      </c>
      <c r="F638" s="1" t="s">
        <v>15</v>
      </c>
      <c r="G638" s="1" t="s">
        <v>21</v>
      </c>
      <c r="H638" s="1" t="s">
        <v>29</v>
      </c>
      <c r="I638" s="4">
        <v>3988.52</v>
      </c>
      <c r="J638" s="4">
        <v>4240.2299999999996</v>
      </c>
      <c r="K638">
        <v>10</v>
      </c>
      <c r="L638" s="3">
        <v>0.05</v>
      </c>
      <c r="M638" s="4">
        <v>39885.199999999997</v>
      </c>
      <c r="N638" s="4">
        <v>42401.8</v>
      </c>
      <c r="O638" s="4">
        <v>2516.6</v>
      </c>
      <c r="P638" s="3">
        <v>5.9351253956200001E-2</v>
      </c>
    </row>
    <row r="639" spans="1:16" x14ac:dyDescent="0.3">
      <c r="A639">
        <v>1039</v>
      </c>
      <c r="B639" s="2">
        <v>45059</v>
      </c>
      <c r="C639" s="1" t="s">
        <v>12</v>
      </c>
      <c r="D639" s="1" t="s">
        <v>19</v>
      </c>
      <c r="E639" s="1" t="s">
        <v>24</v>
      </c>
      <c r="F639" s="1" t="s">
        <v>15</v>
      </c>
      <c r="G639" s="1" t="s">
        <v>25</v>
      </c>
      <c r="H639" s="1" t="s">
        <v>29</v>
      </c>
      <c r="I639" s="4">
        <v>3536.46</v>
      </c>
      <c r="J639" s="4">
        <v>3945.82</v>
      </c>
      <c r="K639">
        <v>40</v>
      </c>
      <c r="L639" s="3">
        <v>0.24</v>
      </c>
      <c r="M639" s="4">
        <v>141458.4</v>
      </c>
      <c r="N639" s="4">
        <v>157823.20000000001</v>
      </c>
      <c r="O639" s="4">
        <v>16364.8</v>
      </c>
      <c r="P639" s="3">
        <v>0.103690712138646</v>
      </c>
    </row>
    <row r="640" spans="1:16" x14ac:dyDescent="0.3">
      <c r="A640">
        <v>1060</v>
      </c>
      <c r="B640" s="2">
        <v>45059</v>
      </c>
      <c r="C640" s="1" t="s">
        <v>31</v>
      </c>
      <c r="D640" s="1" t="s">
        <v>19</v>
      </c>
      <c r="E640" s="1" t="s">
        <v>28</v>
      </c>
      <c r="F640" s="1" t="s">
        <v>20</v>
      </c>
      <c r="G640" s="1" t="s">
        <v>25</v>
      </c>
      <c r="H640" s="1" t="s">
        <v>29</v>
      </c>
      <c r="I640" s="4">
        <v>3161.4</v>
      </c>
      <c r="J640" s="4">
        <v>3339.66</v>
      </c>
      <c r="K640">
        <v>31</v>
      </c>
      <c r="L640" s="3">
        <v>0.02</v>
      </c>
      <c r="M640" s="4">
        <v>98003.4</v>
      </c>
      <c r="N640" s="4">
        <v>103528.84</v>
      </c>
      <c r="O640" s="4">
        <v>5525.44</v>
      </c>
      <c r="P640" s="3">
        <v>5.3371022026326202E-2</v>
      </c>
    </row>
    <row r="641" spans="1:16" x14ac:dyDescent="0.3">
      <c r="A641">
        <v>1075</v>
      </c>
      <c r="B641" s="2">
        <v>45059</v>
      </c>
      <c r="C641" s="1" t="s">
        <v>23</v>
      </c>
      <c r="D641" s="1" t="s">
        <v>13</v>
      </c>
      <c r="E641" s="1" t="s">
        <v>14</v>
      </c>
      <c r="F641" s="1" t="s">
        <v>20</v>
      </c>
      <c r="G641" s="1" t="s">
        <v>21</v>
      </c>
      <c r="H641" s="1" t="s">
        <v>29</v>
      </c>
      <c r="I641" s="4">
        <v>4337.6099999999997</v>
      </c>
      <c r="J641" s="4">
        <v>4386.82</v>
      </c>
      <c r="K641">
        <v>36</v>
      </c>
      <c r="L641" s="3">
        <v>0.23</v>
      </c>
      <c r="M641" s="4">
        <v>156153.96</v>
      </c>
      <c r="N641" s="4">
        <v>157917.24</v>
      </c>
      <c r="O641" s="4">
        <v>1763.28</v>
      </c>
      <c r="P641" s="3">
        <v>1.1165848643251401E-2</v>
      </c>
    </row>
    <row r="642" spans="1:16" x14ac:dyDescent="0.3">
      <c r="A642">
        <v>1033</v>
      </c>
      <c r="B642" s="2">
        <v>45058</v>
      </c>
      <c r="C642" s="1" t="s">
        <v>23</v>
      </c>
      <c r="D642" s="1" t="s">
        <v>30</v>
      </c>
      <c r="E642" s="1" t="s">
        <v>24</v>
      </c>
      <c r="F642" s="1" t="s">
        <v>15</v>
      </c>
      <c r="G642" s="1" t="s">
        <v>25</v>
      </c>
      <c r="H642" s="1" t="s">
        <v>17</v>
      </c>
      <c r="I642" s="4">
        <v>2915.88</v>
      </c>
      <c r="J642" s="4">
        <v>3397.36</v>
      </c>
      <c r="K642">
        <v>16</v>
      </c>
      <c r="L642" s="3">
        <v>0.2</v>
      </c>
      <c r="M642" s="4">
        <v>46654.080000000002</v>
      </c>
      <c r="N642" s="4">
        <v>54354.559999999998</v>
      </c>
      <c r="O642" s="4">
        <v>7700.48</v>
      </c>
      <c r="P642" s="3">
        <v>0.141671278361926</v>
      </c>
    </row>
    <row r="643" spans="1:16" x14ac:dyDescent="0.3">
      <c r="A643">
        <v>1038</v>
      </c>
      <c r="B643" s="2">
        <v>45058</v>
      </c>
      <c r="C643" s="1" t="s">
        <v>23</v>
      </c>
      <c r="D643" s="1" t="s">
        <v>27</v>
      </c>
      <c r="E643" s="1" t="s">
        <v>14</v>
      </c>
      <c r="F643" s="1" t="s">
        <v>15</v>
      </c>
      <c r="G643" s="1" t="s">
        <v>21</v>
      </c>
      <c r="H643" s="1" t="s">
        <v>17</v>
      </c>
      <c r="I643" s="4">
        <v>2607.31</v>
      </c>
      <c r="J643" s="4">
        <v>2774.86</v>
      </c>
      <c r="K643">
        <v>20</v>
      </c>
      <c r="L643" s="3">
        <v>0.27</v>
      </c>
      <c r="M643" s="4">
        <v>52146.2</v>
      </c>
      <c r="N643" s="4">
        <v>55491.8</v>
      </c>
      <c r="O643" s="4">
        <v>3345.6</v>
      </c>
      <c r="P643" s="3">
        <v>6.0289988791136701E-2</v>
      </c>
    </row>
    <row r="644" spans="1:16" x14ac:dyDescent="0.3">
      <c r="A644">
        <v>1001</v>
      </c>
      <c r="B644" s="2">
        <v>45057</v>
      </c>
      <c r="C644" s="1" t="s">
        <v>12</v>
      </c>
      <c r="D644" s="1" t="s">
        <v>13</v>
      </c>
      <c r="E644" s="1" t="s">
        <v>14</v>
      </c>
      <c r="F644" s="1" t="s">
        <v>15</v>
      </c>
      <c r="G644" s="1" t="s">
        <v>16</v>
      </c>
      <c r="H644" s="1" t="s">
        <v>17</v>
      </c>
      <c r="I644" s="4">
        <v>442.11</v>
      </c>
      <c r="J644" s="4">
        <v>803.87</v>
      </c>
      <c r="K644">
        <v>8</v>
      </c>
      <c r="L644" s="3">
        <v>0.18</v>
      </c>
      <c r="M644" s="4">
        <v>3536.88</v>
      </c>
      <c r="N644" s="4">
        <v>6429.52</v>
      </c>
      <c r="O644" s="4">
        <v>2892.64</v>
      </c>
      <c r="P644" s="3">
        <v>0.44989983700182901</v>
      </c>
    </row>
    <row r="645" spans="1:16" x14ac:dyDescent="0.3">
      <c r="A645">
        <v>1003</v>
      </c>
      <c r="B645" s="2">
        <v>45057</v>
      </c>
      <c r="C645" s="1" t="s">
        <v>31</v>
      </c>
      <c r="D645" s="1" t="s">
        <v>30</v>
      </c>
      <c r="E645" s="1" t="s">
        <v>28</v>
      </c>
      <c r="F645" s="1" t="s">
        <v>15</v>
      </c>
      <c r="G645" s="1" t="s">
        <v>21</v>
      </c>
      <c r="H645" s="1" t="s">
        <v>29</v>
      </c>
      <c r="I645" s="4">
        <v>3418.78</v>
      </c>
      <c r="J645" s="4">
        <v>3824.1</v>
      </c>
      <c r="K645">
        <v>26</v>
      </c>
      <c r="L645" s="3">
        <v>0.19</v>
      </c>
      <c r="M645" s="4">
        <v>88888.28</v>
      </c>
      <c r="N645" s="4">
        <v>99421.66</v>
      </c>
      <c r="O645" s="4">
        <v>10533.38</v>
      </c>
      <c r="P645" s="3">
        <v>0.105946531168359</v>
      </c>
    </row>
    <row r="646" spans="1:16" x14ac:dyDescent="0.3">
      <c r="A646">
        <v>1051</v>
      </c>
      <c r="B646" s="2">
        <v>45057</v>
      </c>
      <c r="C646" s="1" t="s">
        <v>23</v>
      </c>
      <c r="D646" s="1" t="s">
        <v>30</v>
      </c>
      <c r="E646" s="1" t="s">
        <v>22</v>
      </c>
      <c r="F646" s="1" t="s">
        <v>15</v>
      </c>
      <c r="G646" s="1" t="s">
        <v>25</v>
      </c>
      <c r="H646" s="1" t="s">
        <v>29</v>
      </c>
      <c r="I646" s="4">
        <v>4418.95</v>
      </c>
      <c r="J646" s="4">
        <v>4647.87</v>
      </c>
      <c r="K646">
        <v>36</v>
      </c>
      <c r="L646" s="3">
        <v>0.04</v>
      </c>
      <c r="M646" s="4">
        <v>159082.20000000001</v>
      </c>
      <c r="N646" s="4">
        <v>167321.88</v>
      </c>
      <c r="O646" s="4">
        <v>8239.68</v>
      </c>
      <c r="P646" s="3">
        <v>4.9244486136541102E-2</v>
      </c>
    </row>
    <row r="647" spans="1:16" x14ac:dyDescent="0.3">
      <c r="A647">
        <v>1099</v>
      </c>
      <c r="B647" s="2">
        <v>45057</v>
      </c>
      <c r="C647" s="1" t="s">
        <v>26</v>
      </c>
      <c r="D647" s="1" t="s">
        <v>27</v>
      </c>
      <c r="E647" s="1" t="s">
        <v>22</v>
      </c>
      <c r="F647" s="1" t="s">
        <v>20</v>
      </c>
      <c r="G647" s="1" t="s">
        <v>25</v>
      </c>
      <c r="H647" s="1" t="s">
        <v>29</v>
      </c>
      <c r="I647" s="4">
        <v>3441.61</v>
      </c>
      <c r="J647" s="4">
        <v>3693.45</v>
      </c>
      <c r="K647">
        <v>48</v>
      </c>
      <c r="L647" s="3">
        <v>0.19</v>
      </c>
      <c r="M647" s="4">
        <v>165197.28</v>
      </c>
      <c r="N647" s="4">
        <v>177276.48</v>
      </c>
      <c r="O647" s="4">
        <v>12079.2</v>
      </c>
      <c r="P647" s="3">
        <v>6.8137634501768102E-2</v>
      </c>
    </row>
    <row r="648" spans="1:16" x14ac:dyDescent="0.3">
      <c r="A648">
        <v>1001</v>
      </c>
      <c r="B648" s="2">
        <v>45056</v>
      </c>
      <c r="C648" s="1" t="s">
        <v>18</v>
      </c>
      <c r="D648" s="1" t="s">
        <v>13</v>
      </c>
      <c r="E648" s="1" t="s">
        <v>22</v>
      </c>
      <c r="F648" s="1" t="s">
        <v>15</v>
      </c>
      <c r="G648" s="1" t="s">
        <v>25</v>
      </c>
      <c r="H648" s="1" t="s">
        <v>29</v>
      </c>
      <c r="I648" s="4">
        <v>4865.33</v>
      </c>
      <c r="J648" s="4">
        <v>5316.13</v>
      </c>
      <c r="K648">
        <v>47</v>
      </c>
      <c r="L648" s="3">
        <v>0.06</v>
      </c>
      <c r="M648" s="4">
        <v>228670.51</v>
      </c>
      <c r="N648" s="4">
        <v>249855.29</v>
      </c>
      <c r="O648" s="4">
        <v>21184.78</v>
      </c>
      <c r="P648" s="3">
        <v>8.4788198800994002E-2</v>
      </c>
    </row>
    <row r="649" spans="1:16" x14ac:dyDescent="0.3">
      <c r="A649">
        <v>1030</v>
      </c>
      <c r="B649" s="2">
        <v>45056</v>
      </c>
      <c r="C649" s="1" t="s">
        <v>23</v>
      </c>
      <c r="D649" s="1" t="s">
        <v>27</v>
      </c>
      <c r="E649" s="1" t="s">
        <v>14</v>
      </c>
      <c r="F649" s="1" t="s">
        <v>20</v>
      </c>
      <c r="G649" s="1" t="s">
        <v>25</v>
      </c>
      <c r="H649" s="1" t="s">
        <v>29</v>
      </c>
      <c r="I649" s="4">
        <v>4696.6400000000003</v>
      </c>
      <c r="J649" s="4">
        <v>4713.68</v>
      </c>
      <c r="K649">
        <v>43</v>
      </c>
      <c r="L649" s="3">
        <v>0.24</v>
      </c>
      <c r="M649" s="4">
        <v>201955.52</v>
      </c>
      <c r="N649" s="4">
        <v>202677.92</v>
      </c>
      <c r="O649" s="4">
        <v>722.4</v>
      </c>
      <c r="P649" s="3">
        <v>3.5642757731083898E-3</v>
      </c>
    </row>
    <row r="650" spans="1:16" x14ac:dyDescent="0.3">
      <c r="A650">
        <v>1034</v>
      </c>
      <c r="B650" s="2">
        <v>45056</v>
      </c>
      <c r="C650" s="1" t="s">
        <v>12</v>
      </c>
      <c r="D650" s="1" t="s">
        <v>13</v>
      </c>
      <c r="E650" s="1" t="s">
        <v>14</v>
      </c>
      <c r="F650" s="1" t="s">
        <v>20</v>
      </c>
      <c r="G650" s="1" t="s">
        <v>21</v>
      </c>
      <c r="H650" s="1" t="s">
        <v>17</v>
      </c>
      <c r="I650" s="4">
        <v>1922.21</v>
      </c>
      <c r="J650" s="4">
        <v>2180.83</v>
      </c>
      <c r="K650">
        <v>19</v>
      </c>
      <c r="L650" s="3">
        <v>0.17</v>
      </c>
      <c r="M650" s="4">
        <v>36521.99</v>
      </c>
      <c r="N650" s="4">
        <v>41432.54</v>
      </c>
      <c r="O650" s="4">
        <v>4910.55</v>
      </c>
      <c r="P650" s="3">
        <v>0.118519163922849</v>
      </c>
    </row>
    <row r="651" spans="1:16" x14ac:dyDescent="0.3">
      <c r="A651">
        <v>1063</v>
      </c>
      <c r="B651" s="2">
        <v>45056</v>
      </c>
      <c r="C651" s="1" t="s">
        <v>18</v>
      </c>
      <c r="D651" s="1" t="s">
        <v>13</v>
      </c>
      <c r="E651" s="1" t="s">
        <v>28</v>
      </c>
      <c r="F651" s="1" t="s">
        <v>15</v>
      </c>
      <c r="G651" s="1" t="s">
        <v>21</v>
      </c>
      <c r="H651" s="1" t="s">
        <v>17</v>
      </c>
      <c r="I651" s="4">
        <v>4291.33</v>
      </c>
      <c r="J651" s="4">
        <v>4658.6400000000003</v>
      </c>
      <c r="K651">
        <v>47</v>
      </c>
      <c r="L651" s="3">
        <v>0.24</v>
      </c>
      <c r="M651" s="4">
        <v>201692.51</v>
      </c>
      <c r="N651" s="4">
        <v>218944.8</v>
      </c>
      <c r="O651" s="4">
        <v>17252.29</v>
      </c>
      <c r="P651" s="3">
        <v>7.8797441181521599E-2</v>
      </c>
    </row>
    <row r="652" spans="1:16" x14ac:dyDescent="0.3">
      <c r="A652">
        <v>1012</v>
      </c>
      <c r="B652" s="2">
        <v>45055</v>
      </c>
      <c r="C652" s="1" t="s">
        <v>18</v>
      </c>
      <c r="D652" s="1" t="s">
        <v>19</v>
      </c>
      <c r="E652" s="1" t="s">
        <v>22</v>
      </c>
      <c r="F652" s="1" t="s">
        <v>20</v>
      </c>
      <c r="G652" s="1" t="s">
        <v>25</v>
      </c>
      <c r="H652" s="1" t="s">
        <v>17</v>
      </c>
      <c r="I652" s="4">
        <v>1311.01</v>
      </c>
      <c r="J652" s="4">
        <v>1538.79</v>
      </c>
      <c r="K652">
        <v>13</v>
      </c>
      <c r="L652" s="3">
        <v>0.09</v>
      </c>
      <c r="M652" s="4">
        <v>17043.13</v>
      </c>
      <c r="N652" s="4">
        <v>20003.099999999999</v>
      </c>
      <c r="O652" s="4">
        <v>2959.97</v>
      </c>
      <c r="P652" s="3">
        <v>0.14797556378761301</v>
      </c>
    </row>
    <row r="653" spans="1:16" x14ac:dyDescent="0.3">
      <c r="A653">
        <v>1026</v>
      </c>
      <c r="B653" s="2">
        <v>45054</v>
      </c>
      <c r="C653" s="1" t="s">
        <v>31</v>
      </c>
      <c r="D653" s="1" t="s">
        <v>19</v>
      </c>
      <c r="E653" s="1" t="s">
        <v>14</v>
      </c>
      <c r="F653" s="1" t="s">
        <v>15</v>
      </c>
      <c r="G653" s="1" t="s">
        <v>21</v>
      </c>
      <c r="H653" s="1" t="s">
        <v>17</v>
      </c>
      <c r="I653" s="4">
        <v>2985.63</v>
      </c>
      <c r="J653" s="4">
        <v>3452.14</v>
      </c>
      <c r="K653">
        <v>20</v>
      </c>
      <c r="L653" s="3">
        <v>0.17</v>
      </c>
      <c r="M653" s="4">
        <v>59712.6</v>
      </c>
      <c r="N653" s="4">
        <v>69039.399999999994</v>
      </c>
      <c r="O653" s="4">
        <v>9326.7999999999993</v>
      </c>
      <c r="P653" s="3">
        <v>0.13509387393285599</v>
      </c>
    </row>
    <row r="654" spans="1:16" x14ac:dyDescent="0.3">
      <c r="A654">
        <v>1067</v>
      </c>
      <c r="B654" s="2">
        <v>45054</v>
      </c>
      <c r="C654" s="1" t="s">
        <v>31</v>
      </c>
      <c r="D654" s="1" t="s">
        <v>30</v>
      </c>
      <c r="E654" s="1" t="s">
        <v>22</v>
      </c>
      <c r="F654" s="1" t="s">
        <v>20</v>
      </c>
      <c r="G654" s="1" t="s">
        <v>25</v>
      </c>
      <c r="H654" s="1" t="s">
        <v>29</v>
      </c>
      <c r="I654" s="4">
        <v>2171.79</v>
      </c>
      <c r="J654" s="4">
        <v>2307.64</v>
      </c>
      <c r="K654">
        <v>32</v>
      </c>
      <c r="L654" s="3">
        <v>0.22</v>
      </c>
      <c r="M654" s="4">
        <v>69497.279999999999</v>
      </c>
      <c r="N654" s="4">
        <v>73837.440000000002</v>
      </c>
      <c r="O654" s="4">
        <v>4340.16</v>
      </c>
      <c r="P654" s="3">
        <v>5.8779936032451803E-2</v>
      </c>
    </row>
    <row r="655" spans="1:16" x14ac:dyDescent="0.3">
      <c r="A655">
        <v>1093</v>
      </c>
      <c r="B655" s="2">
        <v>45054</v>
      </c>
      <c r="C655" s="1" t="s">
        <v>23</v>
      </c>
      <c r="D655" s="1" t="s">
        <v>13</v>
      </c>
      <c r="E655" s="1" t="s">
        <v>24</v>
      </c>
      <c r="F655" s="1" t="s">
        <v>20</v>
      </c>
      <c r="G655" s="1" t="s">
        <v>21</v>
      </c>
      <c r="H655" s="1" t="s">
        <v>17</v>
      </c>
      <c r="I655" s="4">
        <v>727.38</v>
      </c>
      <c r="J655" s="4">
        <v>764.54</v>
      </c>
      <c r="K655">
        <v>17</v>
      </c>
      <c r="L655" s="3">
        <v>0.17</v>
      </c>
      <c r="M655" s="4">
        <v>12365.46</v>
      </c>
      <c r="N655" s="4">
        <v>12994.29</v>
      </c>
      <c r="O655" s="4">
        <v>628.83000000000004</v>
      </c>
      <c r="P655" s="3">
        <v>4.8392794065701197E-2</v>
      </c>
    </row>
    <row r="656" spans="1:16" x14ac:dyDescent="0.3">
      <c r="A656">
        <v>1056</v>
      </c>
      <c r="B656" s="2">
        <v>45053</v>
      </c>
      <c r="C656" s="1" t="s">
        <v>18</v>
      </c>
      <c r="D656" s="1" t="s">
        <v>13</v>
      </c>
      <c r="E656" s="1" t="s">
        <v>14</v>
      </c>
      <c r="F656" s="1" t="s">
        <v>20</v>
      </c>
      <c r="G656" s="1" t="s">
        <v>25</v>
      </c>
      <c r="H656" s="1" t="s">
        <v>29</v>
      </c>
      <c r="I656" s="4">
        <v>1566.03</v>
      </c>
      <c r="J656" s="4">
        <v>1576.34</v>
      </c>
      <c r="K656">
        <v>28</v>
      </c>
      <c r="L656" s="3">
        <v>0.2</v>
      </c>
      <c r="M656" s="4">
        <v>43848.84</v>
      </c>
      <c r="N656" s="4">
        <v>44131.92</v>
      </c>
      <c r="O656" s="4">
        <v>283.08</v>
      </c>
      <c r="P656" s="3">
        <v>6.4144048117553004E-3</v>
      </c>
    </row>
    <row r="657" spans="1:16" x14ac:dyDescent="0.3">
      <c r="A657">
        <v>1073</v>
      </c>
      <c r="B657" s="2">
        <v>45053</v>
      </c>
      <c r="C657" s="1" t="s">
        <v>18</v>
      </c>
      <c r="D657" s="1" t="s">
        <v>30</v>
      </c>
      <c r="E657" s="1" t="s">
        <v>14</v>
      </c>
      <c r="F657" s="1" t="s">
        <v>20</v>
      </c>
      <c r="G657" s="1" t="s">
        <v>25</v>
      </c>
      <c r="H657" s="1" t="s">
        <v>29</v>
      </c>
      <c r="I657" s="4">
        <v>2152.6799999999998</v>
      </c>
      <c r="J657" s="4">
        <v>2475.9299999999998</v>
      </c>
      <c r="K657">
        <v>29</v>
      </c>
      <c r="L657" s="3">
        <v>0.22</v>
      </c>
      <c r="M657" s="4">
        <v>62427.72</v>
      </c>
      <c r="N657" s="4">
        <v>71795.59</v>
      </c>
      <c r="O657" s="4">
        <v>9367.8700000000008</v>
      </c>
      <c r="P657" s="3">
        <v>0.13047974116516101</v>
      </c>
    </row>
    <row r="658" spans="1:16" x14ac:dyDescent="0.3">
      <c r="A658">
        <v>1062</v>
      </c>
      <c r="B658" s="2">
        <v>45051</v>
      </c>
      <c r="C658" s="1" t="s">
        <v>12</v>
      </c>
      <c r="D658" s="1" t="s">
        <v>27</v>
      </c>
      <c r="E658" s="1" t="s">
        <v>14</v>
      </c>
      <c r="F658" s="1" t="s">
        <v>20</v>
      </c>
      <c r="G658" s="1" t="s">
        <v>25</v>
      </c>
      <c r="H658" s="1" t="s">
        <v>17</v>
      </c>
      <c r="I658" s="4">
        <v>992.17</v>
      </c>
      <c r="J658" s="4">
        <v>1263.49</v>
      </c>
      <c r="K658">
        <v>26</v>
      </c>
      <c r="L658" s="3">
        <v>0.25</v>
      </c>
      <c r="M658" s="4">
        <v>25796.42</v>
      </c>
      <c r="N658" s="4">
        <v>32844.239999999998</v>
      </c>
      <c r="O658" s="4">
        <v>7047.82</v>
      </c>
      <c r="P658" s="3">
        <v>0.21458313542953</v>
      </c>
    </row>
    <row r="659" spans="1:16" x14ac:dyDescent="0.3">
      <c r="A659">
        <v>1086</v>
      </c>
      <c r="B659" s="2">
        <v>45050</v>
      </c>
      <c r="C659" s="1" t="s">
        <v>23</v>
      </c>
      <c r="D659" s="1" t="s">
        <v>19</v>
      </c>
      <c r="E659" s="1" t="s">
        <v>22</v>
      </c>
      <c r="F659" s="1" t="s">
        <v>15</v>
      </c>
      <c r="G659" s="1" t="s">
        <v>25</v>
      </c>
      <c r="H659" s="1" t="s">
        <v>29</v>
      </c>
      <c r="I659" s="4">
        <v>2248.71</v>
      </c>
      <c r="J659" s="4">
        <v>2626.02</v>
      </c>
      <c r="K659">
        <v>25</v>
      </c>
      <c r="L659" s="3">
        <v>0.08</v>
      </c>
      <c r="M659" s="4">
        <v>56217.75</v>
      </c>
      <c r="N659" s="4">
        <v>65648.5</v>
      </c>
      <c r="O659" s="4">
        <v>9430.75</v>
      </c>
      <c r="P659" s="3">
        <v>0.14365522441487599</v>
      </c>
    </row>
    <row r="660" spans="1:16" x14ac:dyDescent="0.3">
      <c r="A660">
        <v>1015</v>
      </c>
      <c r="B660" s="2">
        <v>45049</v>
      </c>
      <c r="C660" s="1" t="s">
        <v>18</v>
      </c>
      <c r="D660" s="1" t="s">
        <v>27</v>
      </c>
      <c r="E660" s="1" t="s">
        <v>22</v>
      </c>
      <c r="F660" s="1" t="s">
        <v>20</v>
      </c>
      <c r="G660" s="1" t="s">
        <v>25</v>
      </c>
      <c r="H660" s="1" t="s">
        <v>29</v>
      </c>
      <c r="I660" s="4">
        <v>2680.22</v>
      </c>
      <c r="J660" s="4">
        <v>3027.92</v>
      </c>
      <c r="K660">
        <v>30</v>
      </c>
      <c r="L660" s="3">
        <v>0.25</v>
      </c>
      <c r="M660" s="4">
        <v>80406.600000000006</v>
      </c>
      <c r="N660" s="4">
        <v>90830.1</v>
      </c>
      <c r="O660" s="4">
        <v>10423.5</v>
      </c>
      <c r="P660" s="3">
        <v>0.114758213411633</v>
      </c>
    </row>
    <row r="661" spans="1:16" x14ac:dyDescent="0.3">
      <c r="A661">
        <v>1042</v>
      </c>
      <c r="B661" s="2">
        <v>45049</v>
      </c>
      <c r="C661" s="1" t="s">
        <v>26</v>
      </c>
      <c r="D661" s="1" t="s">
        <v>19</v>
      </c>
      <c r="E661" s="1" t="s">
        <v>24</v>
      </c>
      <c r="F661" s="1" t="s">
        <v>20</v>
      </c>
      <c r="G661" s="1" t="s">
        <v>16</v>
      </c>
      <c r="H661" s="1" t="s">
        <v>29</v>
      </c>
      <c r="I661" s="4">
        <v>502.86</v>
      </c>
      <c r="J661" s="4">
        <v>687.6</v>
      </c>
      <c r="K661">
        <v>37</v>
      </c>
      <c r="L661" s="3">
        <v>0.21</v>
      </c>
      <c r="M661" s="4">
        <v>18605.82</v>
      </c>
      <c r="N661" s="4">
        <v>25433.43</v>
      </c>
      <c r="O661" s="4">
        <v>6827.61</v>
      </c>
      <c r="P661" s="3">
        <v>0.26845022476323499</v>
      </c>
    </row>
    <row r="662" spans="1:16" x14ac:dyDescent="0.3">
      <c r="A662">
        <v>1061</v>
      </c>
      <c r="B662" s="2">
        <v>45049</v>
      </c>
      <c r="C662" s="1" t="s">
        <v>23</v>
      </c>
      <c r="D662" s="1" t="s">
        <v>27</v>
      </c>
      <c r="E662" s="1" t="s">
        <v>24</v>
      </c>
      <c r="F662" s="1" t="s">
        <v>15</v>
      </c>
      <c r="G662" s="1" t="s">
        <v>25</v>
      </c>
      <c r="H662" s="1" t="s">
        <v>17</v>
      </c>
      <c r="I662" s="4">
        <v>2894.18</v>
      </c>
      <c r="J662" s="4">
        <v>3193.92</v>
      </c>
      <c r="K662">
        <v>41</v>
      </c>
      <c r="L662" s="3">
        <v>0.28000000000000003</v>
      </c>
      <c r="M662" s="4">
        <v>118661.38</v>
      </c>
      <c r="N662" s="4">
        <v>130939.24</v>
      </c>
      <c r="O662" s="4">
        <v>12277.86</v>
      </c>
      <c r="P662" s="3">
        <v>9.3767613131098104E-2</v>
      </c>
    </row>
    <row r="663" spans="1:16" x14ac:dyDescent="0.3">
      <c r="A663">
        <v>1036</v>
      </c>
      <c r="B663" s="2">
        <v>45048</v>
      </c>
      <c r="C663" s="1" t="s">
        <v>18</v>
      </c>
      <c r="D663" s="1" t="s">
        <v>30</v>
      </c>
      <c r="E663" s="1" t="s">
        <v>24</v>
      </c>
      <c r="F663" s="1" t="s">
        <v>15</v>
      </c>
      <c r="G663" s="1" t="s">
        <v>21</v>
      </c>
      <c r="H663" s="1" t="s">
        <v>17</v>
      </c>
      <c r="I663" s="4">
        <v>4292.63</v>
      </c>
      <c r="J663" s="4">
        <v>4387.99</v>
      </c>
      <c r="K663">
        <v>42</v>
      </c>
      <c r="L663" s="3">
        <v>7.0000000000000007E-2</v>
      </c>
      <c r="M663" s="4">
        <v>180290.46</v>
      </c>
      <c r="N663" s="4">
        <v>184292.64</v>
      </c>
      <c r="O663" s="4">
        <v>4002.18</v>
      </c>
      <c r="P663" s="3">
        <v>2.17164396798483E-2</v>
      </c>
    </row>
    <row r="664" spans="1:16" x14ac:dyDescent="0.3">
      <c r="A664">
        <v>1051</v>
      </c>
      <c r="B664" s="2">
        <v>45048</v>
      </c>
      <c r="C664" s="1" t="s">
        <v>26</v>
      </c>
      <c r="D664" s="1" t="s">
        <v>30</v>
      </c>
      <c r="E664" s="1" t="s">
        <v>24</v>
      </c>
      <c r="F664" s="1" t="s">
        <v>20</v>
      </c>
      <c r="G664" s="1" t="s">
        <v>25</v>
      </c>
      <c r="H664" s="1" t="s">
        <v>17</v>
      </c>
      <c r="I664" s="4">
        <v>3764.14</v>
      </c>
      <c r="J664" s="4">
        <v>4100.3999999999996</v>
      </c>
      <c r="K664">
        <v>34</v>
      </c>
      <c r="L664" s="3">
        <v>0.05</v>
      </c>
      <c r="M664" s="4">
        <v>127980.76</v>
      </c>
      <c r="N664" s="4">
        <v>139411.9</v>
      </c>
      <c r="O664" s="4">
        <v>11431.14</v>
      </c>
      <c r="P664" s="3">
        <v>8.1995439413708598E-2</v>
      </c>
    </row>
    <row r="665" spans="1:16" x14ac:dyDescent="0.3">
      <c r="A665">
        <v>1096</v>
      </c>
      <c r="B665" s="2">
        <v>45048</v>
      </c>
      <c r="C665" s="1" t="s">
        <v>26</v>
      </c>
      <c r="D665" s="1" t="s">
        <v>13</v>
      </c>
      <c r="E665" s="1" t="s">
        <v>24</v>
      </c>
      <c r="F665" s="1" t="s">
        <v>20</v>
      </c>
      <c r="G665" s="1" t="s">
        <v>25</v>
      </c>
      <c r="H665" s="1" t="s">
        <v>17</v>
      </c>
      <c r="I665" s="4">
        <v>991.63</v>
      </c>
      <c r="J665" s="4">
        <v>1065.55</v>
      </c>
      <c r="K665">
        <v>32</v>
      </c>
      <c r="L665" s="3">
        <v>0.22</v>
      </c>
      <c r="M665" s="4">
        <v>31732.16</v>
      </c>
      <c r="N665" s="4">
        <v>34090.559999999998</v>
      </c>
      <c r="O665" s="4">
        <v>2358.4</v>
      </c>
      <c r="P665" s="3">
        <v>6.9180441741056795E-2</v>
      </c>
    </row>
    <row r="666" spans="1:16" x14ac:dyDescent="0.3">
      <c r="A666">
        <v>1006</v>
      </c>
      <c r="B666" s="2">
        <v>45046</v>
      </c>
      <c r="C666" s="1" t="s">
        <v>31</v>
      </c>
      <c r="D666" s="1" t="s">
        <v>30</v>
      </c>
      <c r="E666" s="1" t="s">
        <v>14</v>
      </c>
      <c r="F666" s="1" t="s">
        <v>15</v>
      </c>
      <c r="G666" s="1" t="s">
        <v>16</v>
      </c>
      <c r="H666" s="1" t="s">
        <v>17</v>
      </c>
      <c r="I666" s="4">
        <v>2962.41</v>
      </c>
      <c r="J666" s="4">
        <v>3218.9</v>
      </c>
      <c r="K666">
        <v>19</v>
      </c>
      <c r="L666" s="3">
        <v>0.28999999999999998</v>
      </c>
      <c r="M666" s="4">
        <v>56285.79</v>
      </c>
      <c r="N666" s="4">
        <v>61153.59</v>
      </c>
      <c r="O666" s="4">
        <v>4867.8</v>
      </c>
      <c r="P666" s="3">
        <v>7.9599578700122103E-2</v>
      </c>
    </row>
    <row r="667" spans="1:16" x14ac:dyDescent="0.3">
      <c r="A667">
        <v>1032</v>
      </c>
      <c r="B667" s="2">
        <v>45046</v>
      </c>
      <c r="C667" s="1" t="s">
        <v>26</v>
      </c>
      <c r="D667" s="1" t="s">
        <v>19</v>
      </c>
      <c r="E667" s="1" t="s">
        <v>28</v>
      </c>
      <c r="F667" s="1" t="s">
        <v>20</v>
      </c>
      <c r="G667" s="1" t="s">
        <v>16</v>
      </c>
      <c r="H667" s="1" t="s">
        <v>29</v>
      </c>
      <c r="I667" s="4">
        <v>2466.1799999999998</v>
      </c>
      <c r="J667" s="4">
        <v>2483.87</v>
      </c>
      <c r="K667">
        <v>18</v>
      </c>
      <c r="L667" s="3">
        <v>0.08</v>
      </c>
      <c r="M667" s="4">
        <v>44391.24</v>
      </c>
      <c r="N667" s="4">
        <v>44708.22</v>
      </c>
      <c r="O667" s="4">
        <v>316.98</v>
      </c>
      <c r="P667" s="3">
        <v>7.0899713743915599E-3</v>
      </c>
    </row>
    <row r="668" spans="1:16" x14ac:dyDescent="0.3">
      <c r="A668">
        <v>1051</v>
      </c>
      <c r="B668" s="2">
        <v>45046</v>
      </c>
      <c r="C668" s="1" t="s">
        <v>23</v>
      </c>
      <c r="D668" s="1" t="s">
        <v>19</v>
      </c>
      <c r="E668" s="1" t="s">
        <v>22</v>
      </c>
      <c r="F668" s="1" t="s">
        <v>20</v>
      </c>
      <c r="G668" s="1" t="s">
        <v>21</v>
      </c>
      <c r="H668" s="1" t="s">
        <v>29</v>
      </c>
      <c r="I668" s="4">
        <v>1000.18</v>
      </c>
      <c r="J668" s="4">
        <v>1023.64</v>
      </c>
      <c r="K668">
        <v>3</v>
      </c>
      <c r="L668" s="3">
        <v>0.04</v>
      </c>
      <c r="M668" s="4">
        <v>3000.54</v>
      </c>
      <c r="N668" s="4">
        <v>3070.8</v>
      </c>
      <c r="O668" s="4">
        <v>70.260000000000005</v>
      </c>
      <c r="P668" s="3">
        <v>2.2880031262211799E-2</v>
      </c>
    </row>
    <row r="669" spans="1:16" x14ac:dyDescent="0.3">
      <c r="A669">
        <v>1076</v>
      </c>
      <c r="B669" s="2">
        <v>45046</v>
      </c>
      <c r="C669" s="1" t="s">
        <v>12</v>
      </c>
      <c r="D669" s="1" t="s">
        <v>19</v>
      </c>
      <c r="E669" s="1" t="s">
        <v>14</v>
      </c>
      <c r="F669" s="1" t="s">
        <v>20</v>
      </c>
      <c r="G669" s="1" t="s">
        <v>16</v>
      </c>
      <c r="H669" s="1" t="s">
        <v>17</v>
      </c>
      <c r="I669" s="4">
        <v>4337.82</v>
      </c>
      <c r="J669" s="4">
        <v>4460.71</v>
      </c>
      <c r="K669">
        <v>32</v>
      </c>
      <c r="L669" s="3">
        <v>0.3</v>
      </c>
      <c r="M669" s="4">
        <v>138810.23999999999</v>
      </c>
      <c r="N669" s="4">
        <v>142733.12</v>
      </c>
      <c r="O669" s="4">
        <v>3922.88</v>
      </c>
      <c r="P669" s="3">
        <v>2.74840205272609E-2</v>
      </c>
    </row>
    <row r="670" spans="1:16" x14ac:dyDescent="0.3">
      <c r="A670">
        <v>1056</v>
      </c>
      <c r="B670" s="2">
        <v>45045</v>
      </c>
      <c r="C670" s="1" t="s">
        <v>31</v>
      </c>
      <c r="D670" s="1" t="s">
        <v>30</v>
      </c>
      <c r="E670" s="1" t="s">
        <v>14</v>
      </c>
      <c r="F670" s="1" t="s">
        <v>20</v>
      </c>
      <c r="G670" s="1" t="s">
        <v>25</v>
      </c>
      <c r="H670" s="1" t="s">
        <v>29</v>
      </c>
      <c r="I670" s="4">
        <v>536.80999999999995</v>
      </c>
      <c r="J670" s="4">
        <v>839.92</v>
      </c>
      <c r="K670">
        <v>10</v>
      </c>
      <c r="L670" s="3">
        <v>0.15</v>
      </c>
      <c r="M670" s="4">
        <v>5368.1</v>
      </c>
      <c r="N670" s="4">
        <v>8397.7000000000007</v>
      </c>
      <c r="O670" s="4">
        <v>3029.6</v>
      </c>
      <c r="P670" s="3">
        <v>0.360765447682103</v>
      </c>
    </row>
    <row r="671" spans="1:16" x14ac:dyDescent="0.3">
      <c r="A671">
        <v>1093</v>
      </c>
      <c r="B671" s="2">
        <v>45045</v>
      </c>
      <c r="C671" s="1" t="s">
        <v>26</v>
      </c>
      <c r="D671" s="1" t="s">
        <v>30</v>
      </c>
      <c r="E671" s="1" t="s">
        <v>22</v>
      </c>
      <c r="F671" s="1" t="s">
        <v>15</v>
      </c>
      <c r="G671" s="1" t="s">
        <v>16</v>
      </c>
      <c r="H671" s="1" t="s">
        <v>29</v>
      </c>
      <c r="I671" s="4">
        <v>4201.1099999999997</v>
      </c>
      <c r="J671" s="4">
        <v>4436.5</v>
      </c>
      <c r="K671">
        <v>34</v>
      </c>
      <c r="L671" s="3">
        <v>0.05</v>
      </c>
      <c r="M671" s="4">
        <v>142837.74</v>
      </c>
      <c r="N671" s="4">
        <v>150839.29999999999</v>
      </c>
      <c r="O671" s="4">
        <v>8001.56</v>
      </c>
      <c r="P671" s="3">
        <v>5.3046918144011503E-2</v>
      </c>
    </row>
    <row r="672" spans="1:16" x14ac:dyDescent="0.3">
      <c r="A672">
        <v>1003</v>
      </c>
      <c r="B672" s="2">
        <v>45044</v>
      </c>
      <c r="C672" s="1" t="s">
        <v>31</v>
      </c>
      <c r="D672" s="1" t="s">
        <v>27</v>
      </c>
      <c r="E672" s="1" t="s">
        <v>24</v>
      </c>
      <c r="F672" s="1" t="s">
        <v>20</v>
      </c>
      <c r="G672" s="1" t="s">
        <v>16</v>
      </c>
      <c r="H672" s="1" t="s">
        <v>29</v>
      </c>
      <c r="I672" s="4">
        <v>623.32000000000005</v>
      </c>
      <c r="J672" s="4">
        <v>853.66</v>
      </c>
      <c r="K672">
        <v>27</v>
      </c>
      <c r="L672" s="3">
        <v>0.04</v>
      </c>
      <c r="M672" s="4">
        <v>16829.64</v>
      </c>
      <c r="N672" s="4">
        <v>23047.74</v>
      </c>
      <c r="O672" s="4">
        <v>6218.1</v>
      </c>
      <c r="P672" s="3">
        <v>0.26979217918980303</v>
      </c>
    </row>
    <row r="673" spans="1:16" x14ac:dyDescent="0.3">
      <c r="A673">
        <v>1009</v>
      </c>
      <c r="B673" s="2">
        <v>45044</v>
      </c>
      <c r="C673" s="1" t="s">
        <v>26</v>
      </c>
      <c r="D673" s="1" t="s">
        <v>30</v>
      </c>
      <c r="E673" s="1" t="s">
        <v>14</v>
      </c>
      <c r="F673" s="1" t="s">
        <v>15</v>
      </c>
      <c r="G673" s="1" t="s">
        <v>21</v>
      </c>
      <c r="H673" s="1" t="s">
        <v>29</v>
      </c>
      <c r="I673" s="4">
        <v>2278.9</v>
      </c>
      <c r="J673" s="4">
        <v>2626.9</v>
      </c>
      <c r="K673">
        <v>33</v>
      </c>
      <c r="L673" s="3">
        <v>0.05</v>
      </c>
      <c r="M673" s="4">
        <v>75203.7</v>
      </c>
      <c r="N673" s="4">
        <v>86686.05</v>
      </c>
      <c r="O673" s="4">
        <v>11482.35</v>
      </c>
      <c r="P673" s="3">
        <v>0.132459028874888</v>
      </c>
    </row>
    <row r="674" spans="1:16" x14ac:dyDescent="0.3">
      <c r="A674">
        <v>1023</v>
      </c>
      <c r="B674" s="2">
        <v>45044</v>
      </c>
      <c r="C674" s="1" t="s">
        <v>31</v>
      </c>
      <c r="D674" s="1" t="s">
        <v>30</v>
      </c>
      <c r="E674" s="1" t="s">
        <v>28</v>
      </c>
      <c r="F674" s="1" t="s">
        <v>20</v>
      </c>
      <c r="G674" s="1" t="s">
        <v>21</v>
      </c>
      <c r="H674" s="1" t="s">
        <v>17</v>
      </c>
      <c r="I674" s="4">
        <v>2311.25</v>
      </c>
      <c r="J674" s="4">
        <v>2482.34</v>
      </c>
      <c r="K674">
        <v>5</v>
      </c>
      <c r="L674" s="3">
        <v>0.22</v>
      </c>
      <c r="M674" s="4">
        <v>11556.25</v>
      </c>
      <c r="N674" s="4">
        <v>12410.6</v>
      </c>
      <c r="O674" s="4">
        <v>854.35</v>
      </c>
      <c r="P674" s="3">
        <v>6.8840346155705598E-2</v>
      </c>
    </row>
    <row r="675" spans="1:16" x14ac:dyDescent="0.3">
      <c r="A675">
        <v>1036</v>
      </c>
      <c r="B675" s="2">
        <v>45044</v>
      </c>
      <c r="C675" s="1" t="s">
        <v>31</v>
      </c>
      <c r="D675" s="1" t="s">
        <v>19</v>
      </c>
      <c r="E675" s="1" t="s">
        <v>24</v>
      </c>
      <c r="F675" s="1" t="s">
        <v>20</v>
      </c>
      <c r="G675" s="1" t="s">
        <v>25</v>
      </c>
      <c r="H675" s="1" t="s">
        <v>29</v>
      </c>
      <c r="I675" s="4">
        <v>4037.73</v>
      </c>
      <c r="J675" s="4">
        <v>4446.45</v>
      </c>
      <c r="K675">
        <v>25</v>
      </c>
      <c r="L675" s="3">
        <v>0.09</v>
      </c>
      <c r="M675" s="4">
        <v>100943.25</v>
      </c>
      <c r="N675" s="4">
        <v>111159</v>
      </c>
      <c r="O675" s="4">
        <v>10215.75</v>
      </c>
      <c r="P675" s="3">
        <v>9.19021401775834E-2</v>
      </c>
    </row>
    <row r="676" spans="1:16" x14ac:dyDescent="0.3">
      <c r="A676">
        <v>1001</v>
      </c>
      <c r="B676" s="2">
        <v>45043</v>
      </c>
      <c r="C676" s="1" t="s">
        <v>12</v>
      </c>
      <c r="D676" s="1" t="s">
        <v>13</v>
      </c>
      <c r="E676" s="1" t="s">
        <v>28</v>
      </c>
      <c r="F676" s="1" t="s">
        <v>15</v>
      </c>
      <c r="G676" s="1" t="s">
        <v>21</v>
      </c>
      <c r="H676" s="1" t="s">
        <v>29</v>
      </c>
      <c r="I676" s="4">
        <v>1330.62</v>
      </c>
      <c r="J676" s="4">
        <v>1543.69</v>
      </c>
      <c r="K676">
        <v>25</v>
      </c>
      <c r="L676" s="3">
        <v>0.27</v>
      </c>
      <c r="M676" s="4">
        <v>33265.5</v>
      </c>
      <c r="N676" s="4">
        <v>38585.5</v>
      </c>
      <c r="O676" s="4">
        <v>5320</v>
      </c>
      <c r="P676" s="3">
        <v>0.13787562685464699</v>
      </c>
    </row>
    <row r="677" spans="1:16" x14ac:dyDescent="0.3">
      <c r="A677">
        <v>1018</v>
      </c>
      <c r="B677" s="2">
        <v>45043</v>
      </c>
      <c r="C677" s="1" t="s">
        <v>18</v>
      </c>
      <c r="D677" s="1" t="s">
        <v>27</v>
      </c>
      <c r="E677" s="1" t="s">
        <v>14</v>
      </c>
      <c r="F677" s="1" t="s">
        <v>20</v>
      </c>
      <c r="G677" s="1" t="s">
        <v>25</v>
      </c>
      <c r="H677" s="1" t="s">
        <v>29</v>
      </c>
      <c r="I677" s="4">
        <v>355.72</v>
      </c>
      <c r="J677" s="4">
        <v>438.27</v>
      </c>
      <c r="K677">
        <v>17</v>
      </c>
      <c r="L677" s="3">
        <v>0.06</v>
      </c>
      <c r="M677" s="4">
        <v>6047.24</v>
      </c>
      <c r="N677" s="4">
        <v>7449.57</v>
      </c>
      <c r="O677" s="4">
        <v>1402.33</v>
      </c>
      <c r="P677" s="3">
        <v>0.18824307980192101</v>
      </c>
    </row>
    <row r="678" spans="1:16" x14ac:dyDescent="0.3">
      <c r="A678">
        <v>1020</v>
      </c>
      <c r="B678" s="2">
        <v>45043</v>
      </c>
      <c r="C678" s="1" t="s">
        <v>26</v>
      </c>
      <c r="D678" s="1" t="s">
        <v>27</v>
      </c>
      <c r="E678" s="1" t="s">
        <v>24</v>
      </c>
      <c r="F678" s="1" t="s">
        <v>20</v>
      </c>
      <c r="G678" s="1" t="s">
        <v>25</v>
      </c>
      <c r="H678" s="1" t="s">
        <v>29</v>
      </c>
      <c r="I678" s="4">
        <v>4772.03</v>
      </c>
      <c r="J678" s="4">
        <v>4805.17</v>
      </c>
      <c r="K678">
        <v>33</v>
      </c>
      <c r="L678" s="3">
        <v>0.28000000000000003</v>
      </c>
      <c r="M678" s="4">
        <v>157476.99</v>
      </c>
      <c r="N678" s="4">
        <v>158561.37</v>
      </c>
      <c r="O678" s="4">
        <v>1084.3800000000001</v>
      </c>
      <c r="P678" s="3">
        <v>6.8388662383530099E-3</v>
      </c>
    </row>
    <row r="679" spans="1:16" x14ac:dyDescent="0.3">
      <c r="A679">
        <v>1024</v>
      </c>
      <c r="B679" s="2">
        <v>45043</v>
      </c>
      <c r="C679" s="1" t="s">
        <v>26</v>
      </c>
      <c r="D679" s="1" t="s">
        <v>19</v>
      </c>
      <c r="E679" s="1" t="s">
        <v>22</v>
      </c>
      <c r="F679" s="1" t="s">
        <v>20</v>
      </c>
      <c r="G679" s="1" t="s">
        <v>16</v>
      </c>
      <c r="H679" s="1" t="s">
        <v>29</v>
      </c>
      <c r="I679" s="4">
        <v>2069.0500000000002</v>
      </c>
      <c r="J679" s="4">
        <v>2363.9</v>
      </c>
      <c r="K679">
        <v>42</v>
      </c>
      <c r="L679" s="3">
        <v>7.0000000000000007E-2</v>
      </c>
      <c r="M679" s="4">
        <v>86900.1</v>
      </c>
      <c r="N679" s="4">
        <v>99280.86</v>
      </c>
      <c r="O679" s="4">
        <v>12380.76</v>
      </c>
      <c r="P679" s="3">
        <v>0.124704399216526</v>
      </c>
    </row>
    <row r="680" spans="1:16" x14ac:dyDescent="0.3">
      <c r="A680">
        <v>1064</v>
      </c>
      <c r="B680" s="2">
        <v>45043</v>
      </c>
      <c r="C680" s="1" t="s">
        <v>23</v>
      </c>
      <c r="D680" s="1" t="s">
        <v>30</v>
      </c>
      <c r="E680" s="1" t="s">
        <v>14</v>
      </c>
      <c r="F680" s="1" t="s">
        <v>20</v>
      </c>
      <c r="G680" s="1" t="s">
        <v>16</v>
      </c>
      <c r="H680" s="1" t="s">
        <v>17</v>
      </c>
      <c r="I680" s="4">
        <v>1645.51</v>
      </c>
      <c r="J680" s="4">
        <v>2045.53</v>
      </c>
      <c r="K680">
        <v>13</v>
      </c>
      <c r="L680" s="3">
        <v>0.28000000000000003</v>
      </c>
      <c r="M680" s="4">
        <v>21391.63</v>
      </c>
      <c r="N680" s="4">
        <v>26588.25</v>
      </c>
      <c r="O680" s="4">
        <v>5196.62</v>
      </c>
      <c r="P680" s="3">
        <v>0.19544798924336901</v>
      </c>
    </row>
    <row r="681" spans="1:16" x14ac:dyDescent="0.3">
      <c r="A681">
        <v>1075</v>
      </c>
      <c r="B681" s="2">
        <v>45042</v>
      </c>
      <c r="C681" s="1" t="s">
        <v>18</v>
      </c>
      <c r="D681" s="1" t="s">
        <v>27</v>
      </c>
      <c r="E681" s="1" t="s">
        <v>28</v>
      </c>
      <c r="F681" s="1" t="s">
        <v>15</v>
      </c>
      <c r="G681" s="1" t="s">
        <v>25</v>
      </c>
      <c r="H681" s="1" t="s">
        <v>17</v>
      </c>
      <c r="I681" s="4">
        <v>4399.8</v>
      </c>
      <c r="J681" s="4">
        <v>4801.0600000000004</v>
      </c>
      <c r="K681">
        <v>37</v>
      </c>
      <c r="L681" s="3">
        <v>0.13</v>
      </c>
      <c r="M681" s="4">
        <v>162792.6</v>
      </c>
      <c r="N681" s="4">
        <v>177634.41</v>
      </c>
      <c r="O681" s="4">
        <v>14841.81</v>
      </c>
      <c r="P681" s="3">
        <v>8.3552561691172297E-2</v>
      </c>
    </row>
    <row r="682" spans="1:16" x14ac:dyDescent="0.3">
      <c r="A682">
        <v>1039</v>
      </c>
      <c r="B682" s="2">
        <v>45041</v>
      </c>
      <c r="C682" s="1" t="s">
        <v>26</v>
      </c>
      <c r="D682" s="1" t="s">
        <v>13</v>
      </c>
      <c r="E682" s="1" t="s">
        <v>14</v>
      </c>
      <c r="F682" s="1" t="s">
        <v>15</v>
      </c>
      <c r="G682" s="1" t="s">
        <v>25</v>
      </c>
      <c r="H682" s="1" t="s">
        <v>17</v>
      </c>
      <c r="I682" s="4">
        <v>2615.48</v>
      </c>
      <c r="J682" s="4">
        <v>3062.22</v>
      </c>
      <c r="K682">
        <v>24</v>
      </c>
      <c r="L682" s="3">
        <v>0.19</v>
      </c>
      <c r="M682" s="4">
        <v>62771.519999999997</v>
      </c>
      <c r="N682" s="4">
        <v>73488.72</v>
      </c>
      <c r="O682" s="4">
        <v>10717.2</v>
      </c>
      <c r="P682" s="3">
        <v>0.14583462604873201</v>
      </c>
    </row>
    <row r="683" spans="1:16" x14ac:dyDescent="0.3">
      <c r="A683">
        <v>1075</v>
      </c>
      <c r="B683" s="2">
        <v>45041</v>
      </c>
      <c r="C683" s="1" t="s">
        <v>18</v>
      </c>
      <c r="D683" s="1" t="s">
        <v>19</v>
      </c>
      <c r="E683" s="1" t="s">
        <v>24</v>
      </c>
      <c r="F683" s="1" t="s">
        <v>20</v>
      </c>
      <c r="G683" s="1" t="s">
        <v>25</v>
      </c>
      <c r="H683" s="1" t="s">
        <v>29</v>
      </c>
      <c r="I683" s="4">
        <v>3519.29</v>
      </c>
      <c r="J683" s="4">
        <v>3822.98</v>
      </c>
      <c r="K683">
        <v>44</v>
      </c>
      <c r="L683" s="3">
        <v>0.27</v>
      </c>
      <c r="M683" s="4">
        <v>154848.76</v>
      </c>
      <c r="N683" s="4">
        <v>168199.24</v>
      </c>
      <c r="O683" s="4">
        <v>13350.48</v>
      </c>
      <c r="P683" s="3">
        <v>7.9373010246657494E-2</v>
      </c>
    </row>
    <row r="684" spans="1:16" x14ac:dyDescent="0.3">
      <c r="A684">
        <v>1095</v>
      </c>
      <c r="B684" s="2">
        <v>45041</v>
      </c>
      <c r="C684" s="1" t="s">
        <v>23</v>
      </c>
      <c r="D684" s="1" t="s">
        <v>27</v>
      </c>
      <c r="E684" s="1" t="s">
        <v>28</v>
      </c>
      <c r="F684" s="1" t="s">
        <v>20</v>
      </c>
      <c r="G684" s="1" t="s">
        <v>21</v>
      </c>
      <c r="H684" s="1" t="s">
        <v>29</v>
      </c>
      <c r="I684" s="4">
        <v>3155.97</v>
      </c>
      <c r="J684" s="4">
        <v>3263.49</v>
      </c>
      <c r="K684">
        <v>10</v>
      </c>
      <c r="L684" s="3">
        <v>0.04</v>
      </c>
      <c r="M684" s="4">
        <v>31559.7</v>
      </c>
      <c r="N684" s="4">
        <v>32634.5</v>
      </c>
      <c r="O684" s="4">
        <v>1074.8</v>
      </c>
      <c r="P684" s="3">
        <v>3.2934471188466201E-2</v>
      </c>
    </row>
    <row r="685" spans="1:16" x14ac:dyDescent="0.3">
      <c r="A685">
        <v>1024</v>
      </c>
      <c r="B685" s="2">
        <v>45040</v>
      </c>
      <c r="C685" s="1" t="s">
        <v>18</v>
      </c>
      <c r="D685" s="1" t="s">
        <v>30</v>
      </c>
      <c r="E685" s="1" t="s">
        <v>24</v>
      </c>
      <c r="F685" s="1" t="s">
        <v>20</v>
      </c>
      <c r="G685" s="1" t="s">
        <v>16</v>
      </c>
      <c r="H685" s="1" t="s">
        <v>17</v>
      </c>
      <c r="I685" s="4">
        <v>2051</v>
      </c>
      <c r="J685" s="4">
        <v>2121.5500000000002</v>
      </c>
      <c r="K685">
        <v>35</v>
      </c>
      <c r="L685" s="3">
        <v>0.26</v>
      </c>
      <c r="M685" s="4">
        <v>71785</v>
      </c>
      <c r="N685" s="4">
        <v>74245.149999999994</v>
      </c>
      <c r="O685" s="4">
        <v>2460.15</v>
      </c>
      <c r="P685" s="3">
        <v>3.3135497739582999E-2</v>
      </c>
    </row>
    <row r="686" spans="1:16" x14ac:dyDescent="0.3">
      <c r="A686">
        <v>1054</v>
      </c>
      <c r="B686" s="2">
        <v>45040</v>
      </c>
      <c r="C686" s="1" t="s">
        <v>18</v>
      </c>
      <c r="D686" s="1" t="s">
        <v>30</v>
      </c>
      <c r="E686" s="1" t="s">
        <v>22</v>
      </c>
      <c r="F686" s="1" t="s">
        <v>15</v>
      </c>
      <c r="G686" s="1" t="s">
        <v>21</v>
      </c>
      <c r="H686" s="1" t="s">
        <v>29</v>
      </c>
      <c r="I686" s="4">
        <v>2316.92</v>
      </c>
      <c r="J686" s="4">
        <v>2462.63</v>
      </c>
      <c r="K686">
        <v>48</v>
      </c>
      <c r="L686" s="3">
        <v>0.04</v>
      </c>
      <c r="M686" s="4">
        <v>111212.16</v>
      </c>
      <c r="N686" s="4">
        <v>118204.32</v>
      </c>
      <c r="O686" s="4">
        <v>6992.16</v>
      </c>
      <c r="P686" s="3">
        <v>5.9153168006042402E-2</v>
      </c>
    </row>
    <row r="687" spans="1:16" x14ac:dyDescent="0.3">
      <c r="A687">
        <v>1008</v>
      </c>
      <c r="B687" s="2">
        <v>45039</v>
      </c>
      <c r="C687" s="1" t="s">
        <v>12</v>
      </c>
      <c r="D687" s="1" t="s">
        <v>30</v>
      </c>
      <c r="E687" s="1" t="s">
        <v>14</v>
      </c>
      <c r="F687" s="1" t="s">
        <v>20</v>
      </c>
      <c r="G687" s="1" t="s">
        <v>25</v>
      </c>
      <c r="H687" s="1" t="s">
        <v>17</v>
      </c>
      <c r="I687" s="4">
        <v>600.20000000000005</v>
      </c>
      <c r="J687" s="4">
        <v>1059.82</v>
      </c>
      <c r="K687">
        <v>35</v>
      </c>
      <c r="L687" s="3">
        <v>0.28999999999999998</v>
      </c>
      <c r="M687" s="4">
        <v>21007</v>
      </c>
      <c r="N687" s="4">
        <v>37083.550000000003</v>
      </c>
      <c r="O687" s="4">
        <v>16076.55</v>
      </c>
      <c r="P687" s="3">
        <v>0.43352241088029603</v>
      </c>
    </row>
    <row r="688" spans="1:16" x14ac:dyDescent="0.3">
      <c r="A688">
        <v>1016</v>
      </c>
      <c r="B688" s="2">
        <v>45039</v>
      </c>
      <c r="C688" s="1" t="s">
        <v>18</v>
      </c>
      <c r="D688" s="1" t="s">
        <v>27</v>
      </c>
      <c r="E688" s="1" t="s">
        <v>24</v>
      </c>
      <c r="F688" s="1" t="s">
        <v>15</v>
      </c>
      <c r="G688" s="1" t="s">
        <v>21</v>
      </c>
      <c r="H688" s="1" t="s">
        <v>29</v>
      </c>
      <c r="I688" s="4">
        <v>4502.09</v>
      </c>
      <c r="J688" s="4">
        <v>4879.72</v>
      </c>
      <c r="K688">
        <v>6</v>
      </c>
      <c r="L688" s="3">
        <v>0.13</v>
      </c>
      <c r="M688" s="4">
        <v>27012.54</v>
      </c>
      <c r="N688" s="4">
        <v>29277.54</v>
      </c>
      <c r="O688" s="4">
        <v>2265</v>
      </c>
      <c r="P688" s="3">
        <v>7.7363057142096001E-2</v>
      </c>
    </row>
    <row r="689" spans="1:16" x14ac:dyDescent="0.3">
      <c r="A689">
        <v>1033</v>
      </c>
      <c r="B689" s="2">
        <v>45039</v>
      </c>
      <c r="C689" s="1" t="s">
        <v>31</v>
      </c>
      <c r="D689" s="1" t="s">
        <v>13</v>
      </c>
      <c r="E689" s="1" t="s">
        <v>28</v>
      </c>
      <c r="F689" s="1" t="s">
        <v>20</v>
      </c>
      <c r="G689" s="1" t="s">
        <v>25</v>
      </c>
      <c r="H689" s="1" t="s">
        <v>17</v>
      </c>
      <c r="I689" s="4">
        <v>1195.22</v>
      </c>
      <c r="J689" s="4">
        <v>1320.06</v>
      </c>
      <c r="K689">
        <v>44</v>
      </c>
      <c r="L689" s="3">
        <v>0.23</v>
      </c>
      <c r="M689" s="4">
        <v>52589.68</v>
      </c>
      <c r="N689" s="4">
        <v>58072.52</v>
      </c>
      <c r="O689" s="4">
        <v>5482.84</v>
      </c>
      <c r="P689" s="3">
        <v>9.4413674488381102E-2</v>
      </c>
    </row>
    <row r="690" spans="1:16" x14ac:dyDescent="0.3">
      <c r="A690">
        <v>1060</v>
      </c>
      <c r="B690" s="2">
        <v>45039</v>
      </c>
      <c r="C690" s="1" t="s">
        <v>12</v>
      </c>
      <c r="D690" s="1" t="s">
        <v>13</v>
      </c>
      <c r="E690" s="1" t="s">
        <v>14</v>
      </c>
      <c r="F690" s="1" t="s">
        <v>15</v>
      </c>
      <c r="G690" s="1" t="s">
        <v>21</v>
      </c>
      <c r="H690" s="1" t="s">
        <v>29</v>
      </c>
      <c r="I690" s="4">
        <v>4110.6000000000004</v>
      </c>
      <c r="J690" s="4">
        <v>4488.37</v>
      </c>
      <c r="K690">
        <v>23</v>
      </c>
      <c r="L690" s="3">
        <v>0.12</v>
      </c>
      <c r="M690" s="4">
        <v>94543.8</v>
      </c>
      <c r="N690" s="4">
        <v>103229.75</v>
      </c>
      <c r="O690" s="4">
        <v>8685.9500000000007</v>
      </c>
      <c r="P690" s="3">
        <v>8.4141926140477899E-2</v>
      </c>
    </row>
    <row r="691" spans="1:16" x14ac:dyDescent="0.3">
      <c r="A691">
        <v>1002</v>
      </c>
      <c r="B691" s="2">
        <v>45038</v>
      </c>
      <c r="C691" s="1" t="s">
        <v>12</v>
      </c>
      <c r="D691" s="1" t="s">
        <v>30</v>
      </c>
      <c r="E691" s="1" t="s">
        <v>28</v>
      </c>
      <c r="F691" s="1" t="s">
        <v>15</v>
      </c>
      <c r="G691" s="1" t="s">
        <v>25</v>
      </c>
      <c r="H691" s="1" t="s">
        <v>29</v>
      </c>
      <c r="I691" s="4">
        <v>4398.16</v>
      </c>
      <c r="J691" s="4">
        <v>4439.12</v>
      </c>
      <c r="K691">
        <v>9</v>
      </c>
      <c r="L691" s="3">
        <v>0.18</v>
      </c>
      <c r="M691" s="4">
        <v>39583.440000000002</v>
      </c>
      <c r="N691" s="4">
        <v>39950.46</v>
      </c>
      <c r="O691" s="4">
        <v>367.02</v>
      </c>
      <c r="P691" s="3">
        <v>9.1868779483390197E-3</v>
      </c>
    </row>
    <row r="692" spans="1:16" x14ac:dyDescent="0.3">
      <c r="A692">
        <v>1061</v>
      </c>
      <c r="B692" s="2">
        <v>45038</v>
      </c>
      <c r="C692" s="1" t="s">
        <v>12</v>
      </c>
      <c r="D692" s="1" t="s">
        <v>27</v>
      </c>
      <c r="E692" s="1" t="s">
        <v>28</v>
      </c>
      <c r="F692" s="1" t="s">
        <v>20</v>
      </c>
      <c r="G692" s="1" t="s">
        <v>25</v>
      </c>
      <c r="H692" s="1" t="s">
        <v>17</v>
      </c>
      <c r="I692" s="4">
        <v>3494.19</v>
      </c>
      <c r="J692" s="4">
        <v>3746</v>
      </c>
      <c r="K692">
        <v>39</v>
      </c>
      <c r="L692" s="3">
        <v>0.25</v>
      </c>
      <c r="M692" s="4">
        <v>136273.41</v>
      </c>
      <c r="N692" s="4">
        <v>146084.25</v>
      </c>
      <c r="O692" s="4">
        <v>9810.84</v>
      </c>
      <c r="P692" s="3">
        <v>6.7158779950610703E-2</v>
      </c>
    </row>
    <row r="693" spans="1:16" x14ac:dyDescent="0.3">
      <c r="A693">
        <v>1009</v>
      </c>
      <c r="B693" s="2">
        <v>45037</v>
      </c>
      <c r="C693" s="1" t="s">
        <v>12</v>
      </c>
      <c r="D693" s="1" t="s">
        <v>30</v>
      </c>
      <c r="E693" s="1" t="s">
        <v>14</v>
      </c>
      <c r="F693" s="1" t="s">
        <v>20</v>
      </c>
      <c r="G693" s="1" t="s">
        <v>25</v>
      </c>
      <c r="H693" s="1" t="s">
        <v>17</v>
      </c>
      <c r="I693" s="4">
        <v>359.41</v>
      </c>
      <c r="J693" s="4">
        <v>733</v>
      </c>
      <c r="K693">
        <v>47</v>
      </c>
      <c r="L693" s="3">
        <v>0.2</v>
      </c>
      <c r="M693" s="4">
        <v>16892.27</v>
      </c>
      <c r="N693" s="4">
        <v>34441.599999999999</v>
      </c>
      <c r="O693" s="4">
        <v>17549.330000000002</v>
      </c>
      <c r="P693" s="3">
        <v>0.50953875545851501</v>
      </c>
    </row>
    <row r="694" spans="1:16" x14ac:dyDescent="0.3">
      <c r="A694">
        <v>1047</v>
      </c>
      <c r="B694" s="2">
        <v>45037</v>
      </c>
      <c r="C694" s="1" t="s">
        <v>12</v>
      </c>
      <c r="D694" s="1" t="s">
        <v>19</v>
      </c>
      <c r="E694" s="1" t="s">
        <v>24</v>
      </c>
      <c r="F694" s="1" t="s">
        <v>15</v>
      </c>
      <c r="G694" s="1" t="s">
        <v>16</v>
      </c>
      <c r="H694" s="1" t="s">
        <v>17</v>
      </c>
      <c r="I694" s="4">
        <v>1591.34</v>
      </c>
      <c r="J694" s="4">
        <v>2043.82</v>
      </c>
      <c r="K694">
        <v>17</v>
      </c>
      <c r="L694" s="3">
        <v>0.28999999999999998</v>
      </c>
      <c r="M694" s="4">
        <v>27052.78</v>
      </c>
      <c r="N694" s="4">
        <v>34740.01</v>
      </c>
      <c r="O694" s="4">
        <v>7687.23</v>
      </c>
      <c r="P694" s="3">
        <v>0.22127886549255499</v>
      </c>
    </row>
    <row r="695" spans="1:16" x14ac:dyDescent="0.3">
      <c r="A695">
        <v>1088</v>
      </c>
      <c r="B695" s="2">
        <v>45037</v>
      </c>
      <c r="C695" s="1" t="s">
        <v>31</v>
      </c>
      <c r="D695" s="1" t="s">
        <v>13</v>
      </c>
      <c r="E695" s="1" t="s">
        <v>24</v>
      </c>
      <c r="F695" s="1" t="s">
        <v>15</v>
      </c>
      <c r="G695" s="1" t="s">
        <v>16</v>
      </c>
      <c r="H695" s="1" t="s">
        <v>17</v>
      </c>
      <c r="I695" s="4">
        <v>639.58000000000004</v>
      </c>
      <c r="J695" s="4">
        <v>1107.45</v>
      </c>
      <c r="K695">
        <v>29</v>
      </c>
      <c r="L695" s="3">
        <v>0.28999999999999998</v>
      </c>
      <c r="M695" s="4">
        <v>18547.82</v>
      </c>
      <c r="N695" s="4">
        <v>32107.64</v>
      </c>
      <c r="O695" s="4">
        <v>13559.82</v>
      </c>
      <c r="P695" s="3">
        <v>0.42232378337367699</v>
      </c>
    </row>
    <row r="696" spans="1:16" x14ac:dyDescent="0.3">
      <c r="A696">
        <v>1090</v>
      </c>
      <c r="B696" s="2">
        <v>45037</v>
      </c>
      <c r="C696" s="1" t="s">
        <v>18</v>
      </c>
      <c r="D696" s="1" t="s">
        <v>19</v>
      </c>
      <c r="E696" s="1" t="s">
        <v>28</v>
      </c>
      <c r="F696" s="1" t="s">
        <v>20</v>
      </c>
      <c r="G696" s="1" t="s">
        <v>16</v>
      </c>
      <c r="H696" s="1" t="s">
        <v>29</v>
      </c>
      <c r="I696" s="4">
        <v>1130.5999999999999</v>
      </c>
      <c r="J696" s="4">
        <v>1466.18</v>
      </c>
      <c r="K696">
        <v>35</v>
      </c>
      <c r="L696" s="3">
        <v>0.13</v>
      </c>
      <c r="M696" s="4">
        <v>39571</v>
      </c>
      <c r="N696" s="4">
        <v>51311.75</v>
      </c>
      <c r="O696" s="4">
        <v>11740.75</v>
      </c>
      <c r="P696" s="3">
        <v>0.228812114184373</v>
      </c>
    </row>
    <row r="697" spans="1:16" x14ac:dyDescent="0.3">
      <c r="A697">
        <v>1093</v>
      </c>
      <c r="B697" s="2">
        <v>45037</v>
      </c>
      <c r="C697" s="1" t="s">
        <v>23</v>
      </c>
      <c r="D697" s="1" t="s">
        <v>19</v>
      </c>
      <c r="E697" s="1" t="s">
        <v>24</v>
      </c>
      <c r="F697" s="1" t="s">
        <v>20</v>
      </c>
      <c r="G697" s="1" t="s">
        <v>16</v>
      </c>
      <c r="H697" s="1" t="s">
        <v>17</v>
      </c>
      <c r="I697" s="4">
        <v>3816.39</v>
      </c>
      <c r="J697" s="4">
        <v>4209.4399999999996</v>
      </c>
      <c r="K697">
        <v>17</v>
      </c>
      <c r="L697" s="3">
        <v>0.11</v>
      </c>
      <c r="M697" s="4">
        <v>64878.63</v>
      </c>
      <c r="N697" s="4">
        <v>71558.61</v>
      </c>
      <c r="O697" s="4">
        <v>6679.98</v>
      </c>
      <c r="P697" s="3">
        <v>9.3349773004254802E-2</v>
      </c>
    </row>
    <row r="698" spans="1:16" x14ac:dyDescent="0.3">
      <c r="A698">
        <v>1044</v>
      </c>
      <c r="B698" s="2">
        <v>45036</v>
      </c>
      <c r="C698" s="1" t="s">
        <v>31</v>
      </c>
      <c r="D698" s="1" t="s">
        <v>19</v>
      </c>
      <c r="E698" s="1" t="s">
        <v>22</v>
      </c>
      <c r="F698" s="1" t="s">
        <v>20</v>
      </c>
      <c r="G698" s="1" t="s">
        <v>21</v>
      </c>
      <c r="H698" s="1" t="s">
        <v>29</v>
      </c>
      <c r="I698" s="4">
        <v>3573.3</v>
      </c>
      <c r="J698" s="4">
        <v>3740.13</v>
      </c>
      <c r="K698">
        <v>34</v>
      </c>
      <c r="L698" s="3">
        <v>0.01</v>
      </c>
      <c r="M698" s="4">
        <v>121492.2</v>
      </c>
      <c r="N698" s="4">
        <v>127164.08</v>
      </c>
      <c r="O698" s="4">
        <v>5671.88</v>
      </c>
      <c r="P698" s="3">
        <v>4.4602846967477003E-2</v>
      </c>
    </row>
    <row r="699" spans="1:16" x14ac:dyDescent="0.3">
      <c r="A699">
        <v>1033</v>
      </c>
      <c r="B699" s="2">
        <v>45035</v>
      </c>
      <c r="C699" s="1" t="s">
        <v>23</v>
      </c>
      <c r="D699" s="1" t="s">
        <v>27</v>
      </c>
      <c r="E699" s="1" t="s">
        <v>24</v>
      </c>
      <c r="F699" s="1" t="s">
        <v>15</v>
      </c>
      <c r="G699" s="1" t="s">
        <v>16</v>
      </c>
      <c r="H699" s="1" t="s">
        <v>29</v>
      </c>
      <c r="I699" s="4">
        <v>3162.92</v>
      </c>
      <c r="J699" s="4">
        <v>3409.93</v>
      </c>
      <c r="K699">
        <v>5</v>
      </c>
      <c r="L699" s="3">
        <v>0</v>
      </c>
      <c r="M699" s="4">
        <v>15814.6</v>
      </c>
      <c r="N699" s="4">
        <v>17049.650000000001</v>
      </c>
      <c r="O699" s="4">
        <v>1235.05</v>
      </c>
      <c r="P699" s="3">
        <v>7.2438437152668803E-2</v>
      </c>
    </row>
    <row r="700" spans="1:16" x14ac:dyDescent="0.3">
      <c r="A700">
        <v>1012</v>
      </c>
      <c r="B700" s="2">
        <v>45034</v>
      </c>
      <c r="C700" s="1" t="s">
        <v>26</v>
      </c>
      <c r="D700" s="1" t="s">
        <v>27</v>
      </c>
      <c r="E700" s="1" t="s">
        <v>28</v>
      </c>
      <c r="F700" s="1" t="s">
        <v>20</v>
      </c>
      <c r="G700" s="1" t="s">
        <v>25</v>
      </c>
      <c r="H700" s="1" t="s">
        <v>17</v>
      </c>
      <c r="I700" s="4">
        <v>709.97</v>
      </c>
      <c r="J700" s="4">
        <v>1029.71</v>
      </c>
      <c r="K700">
        <v>9</v>
      </c>
      <c r="L700" s="3">
        <v>0.13</v>
      </c>
      <c r="M700" s="4">
        <v>6389.73</v>
      </c>
      <c r="N700" s="4">
        <v>9266.2199999999993</v>
      </c>
      <c r="O700" s="4">
        <v>2876.49</v>
      </c>
      <c r="P700" s="3">
        <v>0.31042755298277003</v>
      </c>
    </row>
    <row r="701" spans="1:16" x14ac:dyDescent="0.3">
      <c r="A701">
        <v>1035</v>
      </c>
      <c r="B701" s="2">
        <v>45034</v>
      </c>
      <c r="C701" s="1" t="s">
        <v>18</v>
      </c>
      <c r="D701" s="1" t="s">
        <v>27</v>
      </c>
      <c r="E701" s="1" t="s">
        <v>22</v>
      </c>
      <c r="F701" s="1" t="s">
        <v>20</v>
      </c>
      <c r="G701" s="1" t="s">
        <v>16</v>
      </c>
      <c r="H701" s="1" t="s">
        <v>29</v>
      </c>
      <c r="I701" s="4">
        <v>1105.05</v>
      </c>
      <c r="J701" s="4">
        <v>1200.96</v>
      </c>
      <c r="K701">
        <v>34</v>
      </c>
      <c r="L701" s="3">
        <v>0.19</v>
      </c>
      <c r="M701" s="4">
        <v>37571.699999999997</v>
      </c>
      <c r="N701" s="4">
        <v>40826.18</v>
      </c>
      <c r="O701" s="4">
        <v>3254.48</v>
      </c>
      <c r="P701" s="3">
        <v>7.9715515877312099E-2</v>
      </c>
    </row>
    <row r="702" spans="1:16" x14ac:dyDescent="0.3">
      <c r="A702">
        <v>1061</v>
      </c>
      <c r="B702" s="2">
        <v>45034</v>
      </c>
      <c r="C702" s="1" t="s">
        <v>12</v>
      </c>
      <c r="D702" s="1" t="s">
        <v>30</v>
      </c>
      <c r="E702" s="1" t="s">
        <v>28</v>
      </c>
      <c r="F702" s="1" t="s">
        <v>15</v>
      </c>
      <c r="G702" s="1" t="s">
        <v>16</v>
      </c>
      <c r="H702" s="1" t="s">
        <v>17</v>
      </c>
      <c r="I702" s="4">
        <v>146.27000000000001</v>
      </c>
      <c r="J702" s="4">
        <v>498.46</v>
      </c>
      <c r="K702">
        <v>47</v>
      </c>
      <c r="L702" s="3">
        <v>0.06</v>
      </c>
      <c r="M702" s="4">
        <v>6874.69</v>
      </c>
      <c r="N702" s="4">
        <v>23424.799999999999</v>
      </c>
      <c r="O702" s="4">
        <v>16550.11</v>
      </c>
      <c r="P702" s="3">
        <v>0.70652086677367598</v>
      </c>
    </row>
    <row r="703" spans="1:16" x14ac:dyDescent="0.3">
      <c r="A703">
        <v>1052</v>
      </c>
      <c r="B703" s="2">
        <v>45033</v>
      </c>
      <c r="C703" s="1" t="s">
        <v>26</v>
      </c>
      <c r="D703" s="1" t="s">
        <v>27</v>
      </c>
      <c r="E703" s="1" t="s">
        <v>22</v>
      </c>
      <c r="F703" s="1" t="s">
        <v>20</v>
      </c>
      <c r="G703" s="1" t="s">
        <v>21</v>
      </c>
      <c r="H703" s="1" t="s">
        <v>29</v>
      </c>
      <c r="I703" s="4">
        <v>1935.41</v>
      </c>
      <c r="J703" s="4">
        <v>2305.44</v>
      </c>
      <c r="K703">
        <v>2</v>
      </c>
      <c r="L703" s="3">
        <v>0.22</v>
      </c>
      <c r="M703" s="4">
        <v>3870.82</v>
      </c>
      <c r="N703" s="4">
        <v>4610.4399999999996</v>
      </c>
      <c r="O703" s="4">
        <v>739.62</v>
      </c>
      <c r="P703" s="3">
        <v>0.160422866364165</v>
      </c>
    </row>
    <row r="704" spans="1:16" x14ac:dyDescent="0.3">
      <c r="A704">
        <v>1027</v>
      </c>
      <c r="B704" s="2">
        <v>45032</v>
      </c>
      <c r="C704" s="1" t="s">
        <v>26</v>
      </c>
      <c r="D704" s="1" t="s">
        <v>13</v>
      </c>
      <c r="E704" s="1" t="s">
        <v>22</v>
      </c>
      <c r="F704" s="1" t="s">
        <v>15</v>
      </c>
      <c r="G704" s="1" t="s">
        <v>16</v>
      </c>
      <c r="H704" s="1" t="s">
        <v>17</v>
      </c>
      <c r="I704" s="4">
        <v>2371.85</v>
      </c>
      <c r="J704" s="4">
        <v>2457.29</v>
      </c>
      <c r="K704">
        <v>7</v>
      </c>
      <c r="L704" s="3">
        <v>0.03</v>
      </c>
      <c r="M704" s="4">
        <v>16602.95</v>
      </c>
      <c r="N704" s="4">
        <v>17200.82</v>
      </c>
      <c r="O704" s="4">
        <v>597.87</v>
      </c>
      <c r="P704" s="3">
        <v>3.4758226642683299E-2</v>
      </c>
    </row>
    <row r="705" spans="1:16" x14ac:dyDescent="0.3">
      <c r="A705">
        <v>1081</v>
      </c>
      <c r="B705" s="2">
        <v>45032</v>
      </c>
      <c r="C705" s="1" t="s">
        <v>31</v>
      </c>
      <c r="D705" s="1" t="s">
        <v>19</v>
      </c>
      <c r="E705" s="1" t="s">
        <v>28</v>
      </c>
      <c r="F705" s="1" t="s">
        <v>15</v>
      </c>
      <c r="G705" s="1" t="s">
        <v>21</v>
      </c>
      <c r="H705" s="1" t="s">
        <v>29</v>
      </c>
      <c r="I705" s="4">
        <v>1362.15</v>
      </c>
      <c r="J705" s="4">
        <v>1844.07</v>
      </c>
      <c r="K705">
        <v>44</v>
      </c>
      <c r="L705" s="3">
        <v>0.28999999999999998</v>
      </c>
      <c r="M705" s="4">
        <v>59934.6</v>
      </c>
      <c r="N705" s="4">
        <v>81126.320000000007</v>
      </c>
      <c r="O705" s="4">
        <v>21191.72</v>
      </c>
      <c r="P705" s="3">
        <v>0.261218800507653</v>
      </c>
    </row>
    <row r="706" spans="1:16" x14ac:dyDescent="0.3">
      <c r="A706">
        <v>1010</v>
      </c>
      <c r="B706" s="2">
        <v>45031</v>
      </c>
      <c r="C706" s="1" t="s">
        <v>31</v>
      </c>
      <c r="D706" s="1" t="s">
        <v>30</v>
      </c>
      <c r="E706" s="1" t="s">
        <v>22</v>
      </c>
      <c r="F706" s="1" t="s">
        <v>20</v>
      </c>
      <c r="G706" s="1" t="s">
        <v>16</v>
      </c>
      <c r="H706" s="1" t="s">
        <v>29</v>
      </c>
      <c r="I706" s="4">
        <v>4943.03</v>
      </c>
      <c r="J706" s="4">
        <v>5442.15</v>
      </c>
      <c r="K706">
        <v>4</v>
      </c>
      <c r="L706" s="3">
        <v>0.28999999999999998</v>
      </c>
      <c r="M706" s="4">
        <v>19772.12</v>
      </c>
      <c r="N706" s="4">
        <v>21767.439999999999</v>
      </c>
      <c r="O706" s="4">
        <v>1995.32</v>
      </c>
      <c r="P706" s="3">
        <v>9.1665349714987202E-2</v>
      </c>
    </row>
    <row r="707" spans="1:16" x14ac:dyDescent="0.3">
      <c r="A707">
        <v>1013</v>
      </c>
      <c r="B707" s="2">
        <v>45031</v>
      </c>
      <c r="C707" s="1" t="s">
        <v>12</v>
      </c>
      <c r="D707" s="1" t="s">
        <v>30</v>
      </c>
      <c r="E707" s="1" t="s">
        <v>24</v>
      </c>
      <c r="F707" s="1" t="s">
        <v>15</v>
      </c>
      <c r="G707" s="1" t="s">
        <v>16</v>
      </c>
      <c r="H707" s="1" t="s">
        <v>29</v>
      </c>
      <c r="I707" s="4">
        <v>1375.57</v>
      </c>
      <c r="J707" s="4">
        <v>1729.71</v>
      </c>
      <c r="K707">
        <v>42</v>
      </c>
      <c r="L707" s="3">
        <v>0.04</v>
      </c>
      <c r="M707" s="4">
        <v>57773.94</v>
      </c>
      <c r="N707" s="4">
        <v>72646.14</v>
      </c>
      <c r="O707" s="4">
        <v>14872.2</v>
      </c>
      <c r="P707" s="3">
        <v>0.20472113177658199</v>
      </c>
    </row>
    <row r="708" spans="1:16" x14ac:dyDescent="0.3">
      <c r="A708">
        <v>1001</v>
      </c>
      <c r="B708" s="2">
        <v>45030</v>
      </c>
      <c r="C708" s="1" t="s">
        <v>18</v>
      </c>
      <c r="D708" s="1" t="s">
        <v>13</v>
      </c>
      <c r="E708" s="1" t="s">
        <v>28</v>
      </c>
      <c r="F708" s="1" t="s">
        <v>15</v>
      </c>
      <c r="G708" s="1" t="s">
        <v>25</v>
      </c>
      <c r="H708" s="1" t="s">
        <v>29</v>
      </c>
      <c r="I708" s="4">
        <v>2631.68</v>
      </c>
      <c r="J708" s="4">
        <v>2904.06</v>
      </c>
      <c r="K708">
        <v>2</v>
      </c>
      <c r="L708" s="3">
        <v>0.15</v>
      </c>
      <c r="M708" s="4">
        <v>5263.36</v>
      </c>
      <c r="N708" s="4">
        <v>5807.82</v>
      </c>
      <c r="O708" s="4">
        <v>544.46</v>
      </c>
      <c r="P708" s="3">
        <v>9.3746018299465203E-2</v>
      </c>
    </row>
    <row r="709" spans="1:16" x14ac:dyDescent="0.3">
      <c r="A709">
        <v>1032</v>
      </c>
      <c r="B709" s="2">
        <v>45030</v>
      </c>
      <c r="C709" s="1" t="s">
        <v>18</v>
      </c>
      <c r="D709" s="1" t="s">
        <v>30</v>
      </c>
      <c r="E709" s="1" t="s">
        <v>14</v>
      </c>
      <c r="F709" s="1" t="s">
        <v>15</v>
      </c>
      <c r="G709" s="1" t="s">
        <v>16</v>
      </c>
      <c r="H709" s="1" t="s">
        <v>17</v>
      </c>
      <c r="I709" s="4">
        <v>3712.35</v>
      </c>
      <c r="J709" s="4">
        <v>3780.88</v>
      </c>
      <c r="K709">
        <v>45</v>
      </c>
      <c r="L709" s="3">
        <v>7.0000000000000007E-2</v>
      </c>
      <c r="M709" s="4">
        <v>167055.75</v>
      </c>
      <c r="N709" s="4">
        <v>170136.45</v>
      </c>
      <c r="O709" s="4">
        <v>3080.7</v>
      </c>
      <c r="P709" s="3">
        <v>1.8107230990184599E-2</v>
      </c>
    </row>
    <row r="710" spans="1:16" x14ac:dyDescent="0.3">
      <c r="A710">
        <v>1034</v>
      </c>
      <c r="B710" s="2">
        <v>45030</v>
      </c>
      <c r="C710" s="1" t="s">
        <v>26</v>
      </c>
      <c r="D710" s="1" t="s">
        <v>19</v>
      </c>
      <c r="E710" s="1" t="s">
        <v>14</v>
      </c>
      <c r="F710" s="1" t="s">
        <v>15</v>
      </c>
      <c r="G710" s="1" t="s">
        <v>16</v>
      </c>
      <c r="H710" s="1" t="s">
        <v>29</v>
      </c>
      <c r="I710" s="4">
        <v>3472.51</v>
      </c>
      <c r="J710" s="4">
        <v>3732</v>
      </c>
      <c r="K710">
        <v>3</v>
      </c>
      <c r="L710" s="3">
        <v>0.06</v>
      </c>
      <c r="M710" s="4">
        <v>10417.530000000001</v>
      </c>
      <c r="N710" s="4">
        <v>11195.82</v>
      </c>
      <c r="O710" s="4">
        <v>778.29</v>
      </c>
      <c r="P710" s="3">
        <v>6.9516122981612805E-2</v>
      </c>
    </row>
    <row r="711" spans="1:16" x14ac:dyDescent="0.3">
      <c r="A711">
        <v>1047</v>
      </c>
      <c r="B711" s="2">
        <v>45030</v>
      </c>
      <c r="C711" s="1" t="s">
        <v>12</v>
      </c>
      <c r="D711" s="1" t="s">
        <v>19</v>
      </c>
      <c r="E711" s="1" t="s">
        <v>14</v>
      </c>
      <c r="F711" s="1" t="s">
        <v>20</v>
      </c>
      <c r="G711" s="1" t="s">
        <v>21</v>
      </c>
      <c r="H711" s="1" t="s">
        <v>17</v>
      </c>
      <c r="I711" s="4">
        <v>3966.86</v>
      </c>
      <c r="J711" s="4">
        <v>4321.04</v>
      </c>
      <c r="K711">
        <v>16</v>
      </c>
      <c r="L711" s="3">
        <v>0.23</v>
      </c>
      <c r="M711" s="4">
        <v>63469.760000000002</v>
      </c>
      <c r="N711" s="4">
        <v>69132.960000000006</v>
      </c>
      <c r="O711" s="4">
        <v>5663.2</v>
      </c>
      <c r="P711" s="3">
        <v>8.1917510837088398E-2</v>
      </c>
    </row>
    <row r="712" spans="1:16" x14ac:dyDescent="0.3">
      <c r="A712">
        <v>1052</v>
      </c>
      <c r="B712" s="2">
        <v>45030</v>
      </c>
      <c r="C712" s="1" t="s">
        <v>18</v>
      </c>
      <c r="D712" s="1" t="s">
        <v>30</v>
      </c>
      <c r="E712" s="1" t="s">
        <v>24</v>
      </c>
      <c r="F712" s="1" t="s">
        <v>20</v>
      </c>
      <c r="G712" s="1" t="s">
        <v>25</v>
      </c>
      <c r="H712" s="1" t="s">
        <v>17</v>
      </c>
      <c r="I712" s="4">
        <v>745.71</v>
      </c>
      <c r="J712" s="4">
        <v>856.91</v>
      </c>
      <c r="K712">
        <v>5</v>
      </c>
      <c r="L712" s="3">
        <v>0.23</v>
      </c>
      <c r="M712" s="4">
        <v>3728.55</v>
      </c>
      <c r="N712" s="4">
        <v>4283.3999999999996</v>
      </c>
      <c r="O712" s="4">
        <v>554.85</v>
      </c>
      <c r="P712" s="3">
        <v>0.129534948872391</v>
      </c>
    </row>
    <row r="713" spans="1:16" x14ac:dyDescent="0.3">
      <c r="A713">
        <v>1099</v>
      </c>
      <c r="B713" s="2">
        <v>45030</v>
      </c>
      <c r="C713" s="1" t="s">
        <v>26</v>
      </c>
      <c r="D713" s="1" t="s">
        <v>13</v>
      </c>
      <c r="E713" s="1" t="s">
        <v>22</v>
      </c>
      <c r="F713" s="1" t="s">
        <v>20</v>
      </c>
      <c r="G713" s="1" t="s">
        <v>21</v>
      </c>
      <c r="H713" s="1" t="s">
        <v>29</v>
      </c>
      <c r="I713" s="4">
        <v>4929.55</v>
      </c>
      <c r="J713" s="4">
        <v>4990.33</v>
      </c>
      <c r="K713">
        <v>27</v>
      </c>
      <c r="L713" s="3">
        <v>0.28999999999999998</v>
      </c>
      <c r="M713" s="4">
        <v>133097.85</v>
      </c>
      <c r="N713" s="4">
        <v>134731.07999999999</v>
      </c>
      <c r="O713" s="4">
        <v>1633.23</v>
      </c>
      <c r="P713" s="3">
        <v>1.2122147317456399E-2</v>
      </c>
    </row>
    <row r="714" spans="1:16" x14ac:dyDescent="0.3">
      <c r="A714">
        <v>1008</v>
      </c>
      <c r="B714" s="2">
        <v>45029</v>
      </c>
      <c r="C714" s="1" t="s">
        <v>31</v>
      </c>
      <c r="D714" s="1" t="s">
        <v>27</v>
      </c>
      <c r="E714" s="1" t="s">
        <v>24</v>
      </c>
      <c r="F714" s="1" t="s">
        <v>15</v>
      </c>
      <c r="G714" s="1" t="s">
        <v>21</v>
      </c>
      <c r="H714" s="1" t="s">
        <v>17</v>
      </c>
      <c r="I714" s="4">
        <v>4739.13</v>
      </c>
      <c r="J714" s="4">
        <v>4868.95</v>
      </c>
      <c r="K714">
        <v>24</v>
      </c>
      <c r="L714" s="3">
        <v>0.14000000000000001</v>
      </c>
      <c r="M714" s="4">
        <v>113739.12</v>
      </c>
      <c r="N714" s="4">
        <v>116851.44</v>
      </c>
      <c r="O714" s="4">
        <v>3112.32</v>
      </c>
      <c r="P714" s="3">
        <v>2.6634845064810501E-2</v>
      </c>
    </row>
    <row r="715" spans="1:16" x14ac:dyDescent="0.3">
      <c r="A715">
        <v>1091</v>
      </c>
      <c r="B715" s="2">
        <v>45029</v>
      </c>
      <c r="C715" s="1" t="s">
        <v>12</v>
      </c>
      <c r="D715" s="1" t="s">
        <v>19</v>
      </c>
      <c r="E715" s="1" t="s">
        <v>28</v>
      </c>
      <c r="F715" s="1" t="s">
        <v>15</v>
      </c>
      <c r="G715" s="1" t="s">
        <v>25</v>
      </c>
      <c r="H715" s="1" t="s">
        <v>17</v>
      </c>
      <c r="I715" s="4">
        <v>3951.59</v>
      </c>
      <c r="J715" s="4">
        <v>4387.01</v>
      </c>
      <c r="K715">
        <v>36</v>
      </c>
      <c r="L715" s="3">
        <v>7.0000000000000007E-2</v>
      </c>
      <c r="M715" s="4">
        <v>142257.24</v>
      </c>
      <c r="N715" s="4">
        <v>157929.84</v>
      </c>
      <c r="O715" s="4">
        <v>15672.6</v>
      </c>
      <c r="P715" s="3">
        <v>9.9237737466206496E-2</v>
      </c>
    </row>
    <row r="716" spans="1:16" x14ac:dyDescent="0.3">
      <c r="A716">
        <v>1063</v>
      </c>
      <c r="B716" s="2">
        <v>45028</v>
      </c>
      <c r="C716" s="1" t="s">
        <v>31</v>
      </c>
      <c r="D716" s="1" t="s">
        <v>30</v>
      </c>
      <c r="E716" s="1" t="s">
        <v>28</v>
      </c>
      <c r="F716" s="1" t="s">
        <v>15</v>
      </c>
      <c r="G716" s="1" t="s">
        <v>25</v>
      </c>
      <c r="H716" s="1" t="s">
        <v>17</v>
      </c>
      <c r="I716" s="4">
        <v>2101.3200000000002</v>
      </c>
      <c r="J716" s="4">
        <v>2440.63</v>
      </c>
      <c r="K716">
        <v>40</v>
      </c>
      <c r="L716" s="3">
        <v>0.26</v>
      </c>
      <c r="M716" s="4">
        <v>84052.800000000003</v>
      </c>
      <c r="N716" s="4">
        <v>97614.8</v>
      </c>
      <c r="O716" s="4">
        <v>13562</v>
      </c>
      <c r="P716" s="3">
        <v>0.138933850194848</v>
      </c>
    </row>
    <row r="717" spans="1:16" x14ac:dyDescent="0.3">
      <c r="A717">
        <v>1081</v>
      </c>
      <c r="B717" s="2">
        <v>45028</v>
      </c>
      <c r="C717" s="1" t="s">
        <v>23</v>
      </c>
      <c r="D717" s="1" t="s">
        <v>27</v>
      </c>
      <c r="E717" s="1" t="s">
        <v>22</v>
      </c>
      <c r="F717" s="1" t="s">
        <v>15</v>
      </c>
      <c r="G717" s="1" t="s">
        <v>25</v>
      </c>
      <c r="H717" s="1" t="s">
        <v>17</v>
      </c>
      <c r="I717" s="4">
        <v>2443.69</v>
      </c>
      <c r="J717" s="4">
        <v>2462.34</v>
      </c>
      <c r="K717">
        <v>19</v>
      </c>
      <c r="L717" s="3">
        <v>7.0000000000000007E-2</v>
      </c>
      <c r="M717" s="4">
        <v>46430.11</v>
      </c>
      <c r="N717" s="4">
        <v>46783.13</v>
      </c>
      <c r="O717" s="4">
        <v>353.02</v>
      </c>
      <c r="P717" s="3">
        <v>7.5458824580569997E-3</v>
      </c>
    </row>
    <row r="718" spans="1:16" x14ac:dyDescent="0.3">
      <c r="A718">
        <v>1002</v>
      </c>
      <c r="B718" s="2">
        <v>45027</v>
      </c>
      <c r="C718" s="1" t="s">
        <v>23</v>
      </c>
      <c r="D718" s="1" t="s">
        <v>30</v>
      </c>
      <c r="E718" s="1" t="s">
        <v>22</v>
      </c>
      <c r="F718" s="1" t="s">
        <v>20</v>
      </c>
      <c r="G718" s="1" t="s">
        <v>16</v>
      </c>
      <c r="H718" s="1" t="s">
        <v>29</v>
      </c>
      <c r="I718" s="4">
        <v>914.22</v>
      </c>
      <c r="J718" s="4">
        <v>971.57</v>
      </c>
      <c r="K718">
        <v>21</v>
      </c>
      <c r="L718" s="3">
        <v>0.14000000000000001</v>
      </c>
      <c r="M718" s="4">
        <v>19198.62</v>
      </c>
      <c r="N718" s="4">
        <v>20400.03</v>
      </c>
      <c r="O718" s="4">
        <v>1201.4100000000001</v>
      </c>
      <c r="P718" s="3">
        <v>5.8892560452117E-2</v>
      </c>
    </row>
    <row r="719" spans="1:16" x14ac:dyDescent="0.3">
      <c r="A719">
        <v>1014</v>
      </c>
      <c r="B719" s="2">
        <v>45027</v>
      </c>
      <c r="C719" s="1" t="s">
        <v>26</v>
      </c>
      <c r="D719" s="1" t="s">
        <v>27</v>
      </c>
      <c r="E719" s="1" t="s">
        <v>22</v>
      </c>
      <c r="F719" s="1" t="s">
        <v>20</v>
      </c>
      <c r="G719" s="1" t="s">
        <v>21</v>
      </c>
      <c r="H719" s="1" t="s">
        <v>29</v>
      </c>
      <c r="I719" s="4">
        <v>2091.21</v>
      </c>
      <c r="J719" s="4">
        <v>2527</v>
      </c>
      <c r="K719">
        <v>38</v>
      </c>
      <c r="L719" s="3">
        <v>0.01</v>
      </c>
      <c r="M719" s="4">
        <v>79465.98</v>
      </c>
      <c r="N719" s="4">
        <v>96025.62</v>
      </c>
      <c r="O719" s="4">
        <v>16559.64</v>
      </c>
      <c r="P719" s="3">
        <v>0.172450227345577</v>
      </c>
    </row>
    <row r="720" spans="1:16" x14ac:dyDescent="0.3">
      <c r="A720">
        <v>1067</v>
      </c>
      <c r="B720" s="2">
        <v>45027</v>
      </c>
      <c r="C720" s="1" t="s">
        <v>23</v>
      </c>
      <c r="D720" s="1" t="s">
        <v>13</v>
      </c>
      <c r="E720" s="1" t="s">
        <v>22</v>
      </c>
      <c r="F720" s="1" t="s">
        <v>15</v>
      </c>
      <c r="G720" s="1" t="s">
        <v>25</v>
      </c>
      <c r="H720" s="1" t="s">
        <v>17</v>
      </c>
      <c r="I720" s="4">
        <v>2831.58</v>
      </c>
      <c r="J720" s="4">
        <v>3186.15</v>
      </c>
      <c r="K720">
        <v>17</v>
      </c>
      <c r="L720" s="3">
        <v>0.24</v>
      </c>
      <c r="M720" s="4">
        <v>48136.86</v>
      </c>
      <c r="N720" s="4">
        <v>54160.47</v>
      </c>
      <c r="O720" s="4">
        <v>6023.61</v>
      </c>
      <c r="P720" s="3">
        <v>0.111217831012175</v>
      </c>
    </row>
    <row r="721" spans="1:16" x14ac:dyDescent="0.3">
      <c r="A721">
        <v>1083</v>
      </c>
      <c r="B721" s="2">
        <v>45027</v>
      </c>
      <c r="C721" s="1" t="s">
        <v>23</v>
      </c>
      <c r="D721" s="1" t="s">
        <v>19</v>
      </c>
      <c r="E721" s="1" t="s">
        <v>24</v>
      </c>
      <c r="F721" s="1" t="s">
        <v>20</v>
      </c>
      <c r="G721" s="1" t="s">
        <v>16</v>
      </c>
      <c r="H721" s="1" t="s">
        <v>29</v>
      </c>
      <c r="I721" s="4">
        <v>2408.81</v>
      </c>
      <c r="J721" s="4">
        <v>2624.09</v>
      </c>
      <c r="K721">
        <v>29</v>
      </c>
      <c r="L721" s="3">
        <v>0.14000000000000001</v>
      </c>
      <c r="M721" s="4">
        <v>69855.490000000005</v>
      </c>
      <c r="N721" s="4">
        <v>76094.55</v>
      </c>
      <c r="O721" s="4">
        <v>6239.06</v>
      </c>
      <c r="P721" s="3">
        <v>8.1990891594733106E-2</v>
      </c>
    </row>
    <row r="722" spans="1:16" x14ac:dyDescent="0.3">
      <c r="A722">
        <v>1039</v>
      </c>
      <c r="B722" s="2">
        <v>45025</v>
      </c>
      <c r="C722" s="1" t="s">
        <v>26</v>
      </c>
      <c r="D722" s="1" t="s">
        <v>30</v>
      </c>
      <c r="E722" s="1" t="s">
        <v>22</v>
      </c>
      <c r="F722" s="1" t="s">
        <v>20</v>
      </c>
      <c r="G722" s="1" t="s">
        <v>16</v>
      </c>
      <c r="H722" s="1" t="s">
        <v>29</v>
      </c>
      <c r="I722" s="4">
        <v>391.19</v>
      </c>
      <c r="J722" s="4">
        <v>471.75</v>
      </c>
      <c r="K722">
        <v>3</v>
      </c>
      <c r="L722" s="3">
        <v>0.27</v>
      </c>
      <c r="M722" s="4">
        <v>1173.57</v>
      </c>
      <c r="N722" s="4">
        <v>1414.44</v>
      </c>
      <c r="O722" s="4">
        <v>240.87</v>
      </c>
      <c r="P722" s="3">
        <v>0.17029354373462299</v>
      </c>
    </row>
    <row r="723" spans="1:16" x14ac:dyDescent="0.3">
      <c r="A723">
        <v>1059</v>
      </c>
      <c r="B723" s="2">
        <v>45025</v>
      </c>
      <c r="C723" s="1" t="s">
        <v>31</v>
      </c>
      <c r="D723" s="1" t="s">
        <v>27</v>
      </c>
      <c r="E723" s="1" t="s">
        <v>28</v>
      </c>
      <c r="F723" s="1" t="s">
        <v>20</v>
      </c>
      <c r="G723" s="1" t="s">
        <v>16</v>
      </c>
      <c r="H723" s="1" t="s">
        <v>17</v>
      </c>
      <c r="I723" s="4">
        <v>332.62</v>
      </c>
      <c r="J723" s="4">
        <v>612.46</v>
      </c>
      <c r="K723">
        <v>1</v>
      </c>
      <c r="L723" s="3">
        <v>0.24</v>
      </c>
      <c r="M723" s="4">
        <v>332.62</v>
      </c>
      <c r="N723" s="4">
        <v>612.22</v>
      </c>
      <c r="O723" s="4">
        <v>279.60000000000002</v>
      </c>
      <c r="P723" s="3">
        <v>0.456698572408611</v>
      </c>
    </row>
    <row r="724" spans="1:16" x14ac:dyDescent="0.3">
      <c r="A724">
        <v>1007</v>
      </c>
      <c r="B724" s="2">
        <v>45024</v>
      </c>
      <c r="C724" s="1" t="s">
        <v>31</v>
      </c>
      <c r="D724" s="1" t="s">
        <v>13</v>
      </c>
      <c r="E724" s="1" t="s">
        <v>14</v>
      </c>
      <c r="F724" s="1" t="s">
        <v>20</v>
      </c>
      <c r="G724" s="1" t="s">
        <v>25</v>
      </c>
      <c r="H724" s="1" t="s">
        <v>29</v>
      </c>
      <c r="I724" s="4">
        <v>3597.2</v>
      </c>
      <c r="J724" s="4">
        <v>4071.82</v>
      </c>
      <c r="K724">
        <v>13</v>
      </c>
      <c r="L724" s="3">
        <v>0.28999999999999998</v>
      </c>
      <c r="M724" s="4">
        <v>46763.6</v>
      </c>
      <c r="N724" s="4">
        <v>52929.89</v>
      </c>
      <c r="O724" s="4">
        <v>6166.29</v>
      </c>
      <c r="P724" s="3">
        <v>0.11649920300231099</v>
      </c>
    </row>
    <row r="725" spans="1:16" x14ac:dyDescent="0.3">
      <c r="A725">
        <v>1009</v>
      </c>
      <c r="B725" s="2">
        <v>45024</v>
      </c>
      <c r="C725" s="1" t="s">
        <v>31</v>
      </c>
      <c r="D725" s="1" t="s">
        <v>27</v>
      </c>
      <c r="E725" s="1" t="s">
        <v>14</v>
      </c>
      <c r="F725" s="1" t="s">
        <v>20</v>
      </c>
      <c r="G725" s="1" t="s">
        <v>16</v>
      </c>
      <c r="H725" s="1" t="s">
        <v>17</v>
      </c>
      <c r="I725" s="4">
        <v>3219.88</v>
      </c>
      <c r="J725" s="4">
        <v>3384.5</v>
      </c>
      <c r="K725">
        <v>32</v>
      </c>
      <c r="L725" s="3">
        <v>0.14000000000000001</v>
      </c>
      <c r="M725" s="4">
        <v>103036.16</v>
      </c>
      <c r="N725" s="4">
        <v>108299.52</v>
      </c>
      <c r="O725" s="4">
        <v>5263.36</v>
      </c>
      <c r="P725" s="3">
        <v>4.8600030729591397E-2</v>
      </c>
    </row>
    <row r="726" spans="1:16" x14ac:dyDescent="0.3">
      <c r="A726">
        <v>1061</v>
      </c>
      <c r="B726" s="2">
        <v>45024</v>
      </c>
      <c r="C726" s="1" t="s">
        <v>31</v>
      </c>
      <c r="D726" s="1" t="s">
        <v>13</v>
      </c>
      <c r="E726" s="1" t="s">
        <v>14</v>
      </c>
      <c r="F726" s="1" t="s">
        <v>15</v>
      </c>
      <c r="G726" s="1" t="s">
        <v>16</v>
      </c>
      <c r="H726" s="1" t="s">
        <v>17</v>
      </c>
      <c r="I726" s="4">
        <v>1221.74</v>
      </c>
      <c r="J726" s="4">
        <v>1611.92</v>
      </c>
      <c r="K726">
        <v>29</v>
      </c>
      <c r="L726" s="3">
        <v>0.15</v>
      </c>
      <c r="M726" s="4">
        <v>35430.46</v>
      </c>
      <c r="N726" s="4">
        <v>46741.33</v>
      </c>
      <c r="O726" s="4">
        <v>11310.87</v>
      </c>
      <c r="P726" s="3">
        <v>0.24198862120525899</v>
      </c>
    </row>
    <row r="727" spans="1:16" x14ac:dyDescent="0.3">
      <c r="A727">
        <v>1096</v>
      </c>
      <c r="B727" s="2">
        <v>45024</v>
      </c>
      <c r="C727" s="1" t="s">
        <v>31</v>
      </c>
      <c r="D727" s="1" t="s">
        <v>27</v>
      </c>
      <c r="E727" s="1" t="s">
        <v>14</v>
      </c>
      <c r="F727" s="1" t="s">
        <v>20</v>
      </c>
      <c r="G727" s="1" t="s">
        <v>16</v>
      </c>
      <c r="H727" s="1" t="s">
        <v>29</v>
      </c>
      <c r="I727" s="4">
        <v>357.92</v>
      </c>
      <c r="J727" s="4">
        <v>461.3</v>
      </c>
      <c r="K727">
        <v>45</v>
      </c>
      <c r="L727" s="3">
        <v>0.28000000000000003</v>
      </c>
      <c r="M727" s="4">
        <v>16106.4</v>
      </c>
      <c r="N727" s="4">
        <v>20745.900000000001</v>
      </c>
      <c r="O727" s="4">
        <v>4639.5</v>
      </c>
      <c r="P727" s="3">
        <v>0.22363454947724601</v>
      </c>
    </row>
    <row r="728" spans="1:16" x14ac:dyDescent="0.3">
      <c r="A728">
        <v>1098</v>
      </c>
      <c r="B728" s="2">
        <v>45024</v>
      </c>
      <c r="C728" s="1" t="s">
        <v>12</v>
      </c>
      <c r="D728" s="1" t="s">
        <v>30</v>
      </c>
      <c r="E728" s="1" t="s">
        <v>28</v>
      </c>
      <c r="F728" s="1" t="s">
        <v>15</v>
      </c>
      <c r="G728" s="1" t="s">
        <v>21</v>
      </c>
      <c r="H728" s="1" t="s">
        <v>17</v>
      </c>
      <c r="I728" s="4">
        <v>2947.22</v>
      </c>
      <c r="J728" s="4">
        <v>3145.27</v>
      </c>
      <c r="K728">
        <v>5</v>
      </c>
      <c r="L728" s="3">
        <v>0.1</v>
      </c>
      <c r="M728" s="4">
        <v>14736.1</v>
      </c>
      <c r="N728" s="4">
        <v>15725.85</v>
      </c>
      <c r="O728" s="4">
        <v>989.75</v>
      </c>
      <c r="P728" s="3">
        <v>6.2937774428727195E-2</v>
      </c>
    </row>
    <row r="729" spans="1:16" x14ac:dyDescent="0.3">
      <c r="A729">
        <v>1033</v>
      </c>
      <c r="B729" s="2">
        <v>45023</v>
      </c>
      <c r="C729" s="1" t="s">
        <v>23</v>
      </c>
      <c r="D729" s="1" t="s">
        <v>13</v>
      </c>
      <c r="E729" s="1" t="s">
        <v>22</v>
      </c>
      <c r="F729" s="1" t="s">
        <v>20</v>
      </c>
      <c r="G729" s="1" t="s">
        <v>25</v>
      </c>
      <c r="H729" s="1" t="s">
        <v>29</v>
      </c>
      <c r="I729" s="4">
        <v>2000.75</v>
      </c>
      <c r="J729" s="4">
        <v>2426.9899999999998</v>
      </c>
      <c r="K729">
        <v>4</v>
      </c>
      <c r="L729" s="3">
        <v>0.17</v>
      </c>
      <c r="M729" s="4">
        <v>8003</v>
      </c>
      <c r="N729" s="4">
        <v>9707.2800000000007</v>
      </c>
      <c r="O729" s="4">
        <v>1704.28</v>
      </c>
      <c r="P729" s="3">
        <v>0.17556720317122801</v>
      </c>
    </row>
    <row r="730" spans="1:16" x14ac:dyDescent="0.3">
      <c r="A730">
        <v>1051</v>
      </c>
      <c r="B730" s="2">
        <v>45023</v>
      </c>
      <c r="C730" s="1" t="s">
        <v>26</v>
      </c>
      <c r="D730" s="1" t="s">
        <v>19</v>
      </c>
      <c r="E730" s="1" t="s">
        <v>28</v>
      </c>
      <c r="F730" s="1" t="s">
        <v>15</v>
      </c>
      <c r="G730" s="1" t="s">
        <v>16</v>
      </c>
      <c r="H730" s="1" t="s">
        <v>29</v>
      </c>
      <c r="I730" s="4">
        <v>3325.43</v>
      </c>
      <c r="J730" s="4">
        <v>3401.1</v>
      </c>
      <c r="K730">
        <v>23</v>
      </c>
      <c r="L730" s="3">
        <v>0.1</v>
      </c>
      <c r="M730" s="4">
        <v>76484.89</v>
      </c>
      <c r="N730" s="4">
        <v>78223</v>
      </c>
      <c r="O730" s="4">
        <v>1738.11</v>
      </c>
      <c r="P730" s="3">
        <v>2.2219935313143199E-2</v>
      </c>
    </row>
    <row r="731" spans="1:16" x14ac:dyDescent="0.3">
      <c r="A731">
        <v>1026</v>
      </c>
      <c r="B731" s="2">
        <v>45022</v>
      </c>
      <c r="C731" s="1" t="s">
        <v>23</v>
      </c>
      <c r="D731" s="1" t="s">
        <v>27</v>
      </c>
      <c r="E731" s="1" t="s">
        <v>28</v>
      </c>
      <c r="F731" s="1" t="s">
        <v>15</v>
      </c>
      <c r="G731" s="1" t="s">
        <v>21</v>
      </c>
      <c r="H731" s="1" t="s">
        <v>29</v>
      </c>
      <c r="I731" s="4">
        <v>3993.39</v>
      </c>
      <c r="J731" s="4">
        <v>4288.3</v>
      </c>
      <c r="K731">
        <v>4</v>
      </c>
      <c r="L731" s="3">
        <v>0.13</v>
      </c>
      <c r="M731" s="4">
        <v>15973.56</v>
      </c>
      <c r="N731" s="4">
        <v>17152.68</v>
      </c>
      <c r="O731" s="4">
        <v>1179.1199999999999</v>
      </c>
      <c r="P731" s="3">
        <v>6.8742610484192598E-2</v>
      </c>
    </row>
    <row r="732" spans="1:16" x14ac:dyDescent="0.3">
      <c r="A732">
        <v>1068</v>
      </c>
      <c r="B732" s="2">
        <v>45022</v>
      </c>
      <c r="C732" s="1" t="s">
        <v>26</v>
      </c>
      <c r="D732" s="1" t="s">
        <v>27</v>
      </c>
      <c r="E732" s="1" t="s">
        <v>14</v>
      </c>
      <c r="F732" s="1" t="s">
        <v>20</v>
      </c>
      <c r="G732" s="1" t="s">
        <v>21</v>
      </c>
      <c r="H732" s="1" t="s">
        <v>17</v>
      </c>
      <c r="I732" s="4">
        <v>3169.37</v>
      </c>
      <c r="J732" s="4">
        <v>3304.15</v>
      </c>
      <c r="K732">
        <v>31</v>
      </c>
      <c r="L732" s="3">
        <v>0.25</v>
      </c>
      <c r="M732" s="4">
        <v>98250.47</v>
      </c>
      <c r="N732" s="4">
        <v>102420.9</v>
      </c>
      <c r="O732" s="4">
        <v>4170.43</v>
      </c>
      <c r="P732" s="3">
        <v>4.0718544750143797E-2</v>
      </c>
    </row>
    <row r="733" spans="1:16" x14ac:dyDescent="0.3">
      <c r="A733">
        <v>1086</v>
      </c>
      <c r="B733" s="2">
        <v>45022</v>
      </c>
      <c r="C733" s="1" t="s">
        <v>31</v>
      </c>
      <c r="D733" s="1" t="s">
        <v>19</v>
      </c>
      <c r="E733" s="1" t="s">
        <v>28</v>
      </c>
      <c r="F733" s="1" t="s">
        <v>20</v>
      </c>
      <c r="G733" s="1" t="s">
        <v>16</v>
      </c>
      <c r="H733" s="1" t="s">
        <v>29</v>
      </c>
      <c r="I733" s="4">
        <v>3743.59</v>
      </c>
      <c r="J733" s="4">
        <v>4116.38</v>
      </c>
      <c r="K733">
        <v>32</v>
      </c>
      <c r="L733" s="3">
        <v>0.11</v>
      </c>
      <c r="M733" s="4">
        <v>119794.88</v>
      </c>
      <c r="N733" s="4">
        <v>131720.64000000001</v>
      </c>
      <c r="O733" s="4">
        <v>11925.76</v>
      </c>
      <c r="P733" s="3">
        <v>9.0538278587167495E-2</v>
      </c>
    </row>
    <row r="734" spans="1:16" x14ac:dyDescent="0.3">
      <c r="A734">
        <v>1052</v>
      </c>
      <c r="B734" s="2">
        <v>45021</v>
      </c>
      <c r="C734" s="1" t="s">
        <v>31</v>
      </c>
      <c r="D734" s="1" t="s">
        <v>27</v>
      </c>
      <c r="E734" s="1" t="s">
        <v>14</v>
      </c>
      <c r="F734" s="1" t="s">
        <v>15</v>
      </c>
      <c r="G734" s="1" t="s">
        <v>21</v>
      </c>
      <c r="H734" s="1" t="s">
        <v>29</v>
      </c>
      <c r="I734" s="4">
        <v>4771.99</v>
      </c>
      <c r="J734" s="4">
        <v>5079.6499999999996</v>
      </c>
      <c r="K734">
        <v>26</v>
      </c>
      <c r="L734" s="3">
        <v>0.28999999999999998</v>
      </c>
      <c r="M734" s="4">
        <v>124071.74</v>
      </c>
      <c r="N734" s="4">
        <v>132063.35999999999</v>
      </c>
      <c r="O734" s="4">
        <v>7991.62</v>
      </c>
      <c r="P734" s="3">
        <v>6.0513529263529299E-2</v>
      </c>
    </row>
    <row r="735" spans="1:16" x14ac:dyDescent="0.3">
      <c r="A735">
        <v>1058</v>
      </c>
      <c r="B735" s="2">
        <v>45021</v>
      </c>
      <c r="C735" s="1" t="s">
        <v>26</v>
      </c>
      <c r="D735" s="1" t="s">
        <v>30</v>
      </c>
      <c r="E735" s="1" t="s">
        <v>24</v>
      </c>
      <c r="F735" s="1" t="s">
        <v>20</v>
      </c>
      <c r="G735" s="1" t="s">
        <v>25</v>
      </c>
      <c r="H735" s="1" t="s">
        <v>17</v>
      </c>
      <c r="I735" s="4">
        <v>1011.65</v>
      </c>
      <c r="J735" s="4">
        <v>1084.28</v>
      </c>
      <c r="K735">
        <v>33</v>
      </c>
      <c r="L735" s="3">
        <v>7.0000000000000007E-2</v>
      </c>
      <c r="M735" s="4">
        <v>33384.449999999997</v>
      </c>
      <c r="N735" s="4">
        <v>35778.93</v>
      </c>
      <c r="O735" s="4">
        <v>2394.48</v>
      </c>
      <c r="P735" s="3">
        <v>6.6924304332186602E-2</v>
      </c>
    </row>
    <row r="736" spans="1:16" x14ac:dyDescent="0.3">
      <c r="A736">
        <v>1062</v>
      </c>
      <c r="B736" s="2">
        <v>45021</v>
      </c>
      <c r="C736" s="1" t="s">
        <v>23</v>
      </c>
      <c r="D736" s="1" t="s">
        <v>30</v>
      </c>
      <c r="E736" s="1" t="s">
        <v>22</v>
      </c>
      <c r="F736" s="1" t="s">
        <v>15</v>
      </c>
      <c r="G736" s="1" t="s">
        <v>16</v>
      </c>
      <c r="H736" s="1" t="s">
        <v>29</v>
      </c>
      <c r="I736" s="4">
        <v>2487.19</v>
      </c>
      <c r="J736" s="4">
        <v>2521.4499999999998</v>
      </c>
      <c r="K736">
        <v>48</v>
      </c>
      <c r="L736" s="3">
        <v>0.28999999999999998</v>
      </c>
      <c r="M736" s="4">
        <v>119385.12</v>
      </c>
      <c r="N736" s="4">
        <v>121015.67999999999</v>
      </c>
      <c r="O736" s="4">
        <v>1630.56</v>
      </c>
      <c r="P736" s="3">
        <v>1.34739564327532E-2</v>
      </c>
    </row>
    <row r="737" spans="1:16" x14ac:dyDescent="0.3">
      <c r="A737">
        <v>1087</v>
      </c>
      <c r="B737" s="2">
        <v>45021</v>
      </c>
      <c r="C737" s="1" t="s">
        <v>12</v>
      </c>
      <c r="D737" s="1" t="s">
        <v>13</v>
      </c>
      <c r="E737" s="1" t="s">
        <v>24</v>
      </c>
      <c r="F737" s="1" t="s">
        <v>15</v>
      </c>
      <c r="G737" s="1" t="s">
        <v>16</v>
      </c>
      <c r="H737" s="1" t="s">
        <v>29</v>
      </c>
      <c r="I737" s="4">
        <v>481</v>
      </c>
      <c r="J737" s="4">
        <v>531.02</v>
      </c>
      <c r="K737">
        <v>43</v>
      </c>
      <c r="L737" s="3">
        <v>0.17</v>
      </c>
      <c r="M737" s="4">
        <v>20683</v>
      </c>
      <c r="N737" s="4">
        <v>22826.55</v>
      </c>
      <c r="O737" s="4">
        <v>2143.5500000000002</v>
      </c>
      <c r="P737" s="3">
        <v>9.3905999811622898E-2</v>
      </c>
    </row>
    <row r="738" spans="1:16" x14ac:dyDescent="0.3">
      <c r="A738">
        <v>1051</v>
      </c>
      <c r="B738" s="2">
        <v>45020</v>
      </c>
      <c r="C738" s="1" t="s">
        <v>23</v>
      </c>
      <c r="D738" s="1" t="s">
        <v>13</v>
      </c>
      <c r="E738" s="1" t="s">
        <v>28</v>
      </c>
      <c r="F738" s="1" t="s">
        <v>20</v>
      </c>
      <c r="G738" s="1" t="s">
        <v>16</v>
      </c>
      <c r="H738" s="1" t="s">
        <v>29</v>
      </c>
      <c r="I738" s="4">
        <v>3544.48</v>
      </c>
      <c r="J738" s="4">
        <v>3723.66</v>
      </c>
      <c r="K738">
        <v>12</v>
      </c>
      <c r="L738" s="3">
        <v>0.19</v>
      </c>
      <c r="M738" s="4">
        <v>42533.760000000002</v>
      </c>
      <c r="N738" s="4">
        <v>44681.64</v>
      </c>
      <c r="O738" s="4">
        <v>2147.88</v>
      </c>
      <c r="P738" s="3">
        <v>4.8070751207878702E-2</v>
      </c>
    </row>
    <row r="739" spans="1:16" x14ac:dyDescent="0.3">
      <c r="A739">
        <v>1078</v>
      </c>
      <c r="B739" s="2">
        <v>45020</v>
      </c>
      <c r="C739" s="1" t="s">
        <v>18</v>
      </c>
      <c r="D739" s="1" t="s">
        <v>13</v>
      </c>
      <c r="E739" s="1" t="s">
        <v>24</v>
      </c>
      <c r="F739" s="1" t="s">
        <v>20</v>
      </c>
      <c r="G739" s="1" t="s">
        <v>21</v>
      </c>
      <c r="H739" s="1" t="s">
        <v>17</v>
      </c>
      <c r="I739" s="4">
        <v>1833.95</v>
      </c>
      <c r="J739" s="4">
        <v>2147.14</v>
      </c>
      <c r="K739">
        <v>49</v>
      </c>
      <c r="L739" s="3">
        <v>0.18</v>
      </c>
      <c r="M739" s="4">
        <v>89863.55</v>
      </c>
      <c r="N739" s="4">
        <v>105201.04</v>
      </c>
      <c r="O739" s="4">
        <v>15337.49</v>
      </c>
      <c r="P739" s="3">
        <v>0.145792189887096</v>
      </c>
    </row>
    <row r="740" spans="1:16" x14ac:dyDescent="0.3">
      <c r="A740">
        <v>1095</v>
      </c>
      <c r="B740" s="2">
        <v>45019</v>
      </c>
      <c r="C740" s="1" t="s">
        <v>31</v>
      </c>
      <c r="D740" s="1" t="s">
        <v>13</v>
      </c>
      <c r="E740" s="1" t="s">
        <v>22</v>
      </c>
      <c r="F740" s="1" t="s">
        <v>15</v>
      </c>
      <c r="G740" s="1" t="s">
        <v>16</v>
      </c>
      <c r="H740" s="1" t="s">
        <v>17</v>
      </c>
      <c r="I740" s="4">
        <v>2650.95</v>
      </c>
      <c r="J740" s="4">
        <v>2860.42</v>
      </c>
      <c r="K740">
        <v>9</v>
      </c>
      <c r="L740" s="3">
        <v>0.12</v>
      </c>
      <c r="M740" s="4">
        <v>23858.55</v>
      </c>
      <c r="N740" s="4">
        <v>25742.7</v>
      </c>
      <c r="O740" s="4">
        <v>1884.15</v>
      </c>
      <c r="P740" s="3">
        <v>7.3191623256301797E-2</v>
      </c>
    </row>
    <row r="741" spans="1:16" x14ac:dyDescent="0.3">
      <c r="A741">
        <v>1099</v>
      </c>
      <c r="B741" s="2">
        <v>45019</v>
      </c>
      <c r="C741" s="1" t="s">
        <v>26</v>
      </c>
      <c r="D741" s="1" t="s">
        <v>30</v>
      </c>
      <c r="E741" s="1" t="s">
        <v>24</v>
      </c>
      <c r="F741" s="1" t="s">
        <v>15</v>
      </c>
      <c r="G741" s="1" t="s">
        <v>25</v>
      </c>
      <c r="H741" s="1" t="s">
        <v>17</v>
      </c>
      <c r="I741" s="4">
        <v>4495.82</v>
      </c>
      <c r="J741" s="4">
        <v>4794.01</v>
      </c>
      <c r="K741">
        <v>30</v>
      </c>
      <c r="L741" s="3">
        <v>0.18</v>
      </c>
      <c r="M741" s="4">
        <v>134874.6</v>
      </c>
      <c r="N741" s="4">
        <v>143814.9</v>
      </c>
      <c r="O741" s="4">
        <v>8940.2999999999993</v>
      </c>
      <c r="P741" s="3">
        <v>6.2165325011525198E-2</v>
      </c>
    </row>
    <row r="742" spans="1:16" x14ac:dyDescent="0.3">
      <c r="A742">
        <v>1005</v>
      </c>
      <c r="B742" s="2">
        <v>45018</v>
      </c>
      <c r="C742" s="1" t="s">
        <v>18</v>
      </c>
      <c r="D742" s="1" t="s">
        <v>27</v>
      </c>
      <c r="E742" s="1" t="s">
        <v>24</v>
      </c>
      <c r="F742" s="1" t="s">
        <v>20</v>
      </c>
      <c r="G742" s="1" t="s">
        <v>25</v>
      </c>
      <c r="H742" s="1" t="s">
        <v>17</v>
      </c>
      <c r="I742" s="4">
        <v>4691.42</v>
      </c>
      <c r="J742" s="4">
        <v>5026.1899999999996</v>
      </c>
      <c r="K742">
        <v>46</v>
      </c>
      <c r="L742" s="3">
        <v>0.22</v>
      </c>
      <c r="M742" s="4">
        <v>215805.32</v>
      </c>
      <c r="N742" s="4">
        <v>231194.62</v>
      </c>
      <c r="O742" s="4">
        <v>15389.3</v>
      </c>
      <c r="P742" s="3">
        <v>6.6564265206517398E-2</v>
      </c>
    </row>
    <row r="743" spans="1:16" x14ac:dyDescent="0.3">
      <c r="A743">
        <v>1034</v>
      </c>
      <c r="B743" s="2">
        <v>45018</v>
      </c>
      <c r="C743" s="1" t="s">
        <v>31</v>
      </c>
      <c r="D743" s="1" t="s">
        <v>19</v>
      </c>
      <c r="E743" s="1" t="s">
        <v>28</v>
      </c>
      <c r="F743" s="1" t="s">
        <v>20</v>
      </c>
      <c r="G743" s="1" t="s">
        <v>16</v>
      </c>
      <c r="H743" s="1" t="s">
        <v>29</v>
      </c>
      <c r="I743" s="4">
        <v>2492.36</v>
      </c>
      <c r="J743" s="4">
        <v>2738.68</v>
      </c>
      <c r="K743">
        <v>7</v>
      </c>
      <c r="L743" s="3">
        <v>0.11</v>
      </c>
      <c r="M743" s="4">
        <v>17446.52</v>
      </c>
      <c r="N743" s="4">
        <v>19169.990000000002</v>
      </c>
      <c r="O743" s="4">
        <v>1723.47</v>
      </c>
      <c r="P743" s="3">
        <v>8.9904585239741902E-2</v>
      </c>
    </row>
    <row r="744" spans="1:16" x14ac:dyDescent="0.3">
      <c r="A744">
        <v>1048</v>
      </c>
      <c r="B744" s="2">
        <v>45018</v>
      </c>
      <c r="C744" s="1" t="s">
        <v>18</v>
      </c>
      <c r="D744" s="1" t="s">
        <v>27</v>
      </c>
      <c r="E744" s="1" t="s">
        <v>28</v>
      </c>
      <c r="F744" s="1" t="s">
        <v>20</v>
      </c>
      <c r="G744" s="1" t="s">
        <v>21</v>
      </c>
      <c r="H744" s="1" t="s">
        <v>29</v>
      </c>
      <c r="I744" s="4">
        <v>4262.21</v>
      </c>
      <c r="J744" s="4">
        <v>4533.3100000000004</v>
      </c>
      <c r="K744">
        <v>45</v>
      </c>
      <c r="L744" s="3">
        <v>0.27</v>
      </c>
      <c r="M744" s="4">
        <v>191799.45</v>
      </c>
      <c r="N744" s="4">
        <v>203986.8</v>
      </c>
      <c r="O744" s="4">
        <v>12187.35</v>
      </c>
      <c r="P744" s="3">
        <v>5.97457776679668E-2</v>
      </c>
    </row>
    <row r="745" spans="1:16" x14ac:dyDescent="0.3">
      <c r="A745">
        <v>1059</v>
      </c>
      <c r="B745" s="2">
        <v>45018</v>
      </c>
      <c r="C745" s="1" t="s">
        <v>12</v>
      </c>
      <c r="D745" s="1" t="s">
        <v>19</v>
      </c>
      <c r="E745" s="1" t="s">
        <v>22</v>
      </c>
      <c r="F745" s="1" t="s">
        <v>20</v>
      </c>
      <c r="G745" s="1" t="s">
        <v>16</v>
      </c>
      <c r="H745" s="1" t="s">
        <v>17</v>
      </c>
      <c r="I745" s="4">
        <v>3496.15</v>
      </c>
      <c r="J745" s="4">
        <v>3955.75</v>
      </c>
      <c r="K745">
        <v>12</v>
      </c>
      <c r="L745" s="3">
        <v>0.28000000000000003</v>
      </c>
      <c r="M745" s="4">
        <v>41953.8</v>
      </c>
      <c r="N745" s="4">
        <v>47465.64</v>
      </c>
      <c r="O745" s="4">
        <v>5511.84</v>
      </c>
      <c r="P745" s="3">
        <v>0.116122736362556</v>
      </c>
    </row>
    <row r="746" spans="1:16" x14ac:dyDescent="0.3">
      <c r="A746">
        <v>1062</v>
      </c>
      <c r="B746" s="2">
        <v>45018</v>
      </c>
      <c r="C746" s="1" t="s">
        <v>23</v>
      </c>
      <c r="D746" s="1" t="s">
        <v>13</v>
      </c>
      <c r="E746" s="1" t="s">
        <v>14</v>
      </c>
      <c r="F746" s="1" t="s">
        <v>15</v>
      </c>
      <c r="G746" s="1" t="s">
        <v>25</v>
      </c>
      <c r="H746" s="1" t="s">
        <v>29</v>
      </c>
      <c r="I746" s="4">
        <v>1524.88</v>
      </c>
      <c r="J746" s="4">
        <v>1636.14</v>
      </c>
      <c r="K746">
        <v>10</v>
      </c>
      <c r="L746" s="3">
        <v>0.2</v>
      </c>
      <c r="M746" s="4">
        <v>15248.8</v>
      </c>
      <c r="N746" s="4">
        <v>16359.4</v>
      </c>
      <c r="O746" s="4">
        <v>1110.5999999999999</v>
      </c>
      <c r="P746" s="3">
        <v>6.7887575338948902E-2</v>
      </c>
    </row>
    <row r="747" spans="1:16" x14ac:dyDescent="0.3">
      <c r="A747">
        <v>1004</v>
      </c>
      <c r="B747" s="2">
        <v>45016</v>
      </c>
      <c r="C747" s="1" t="s">
        <v>31</v>
      </c>
      <c r="D747" s="1" t="s">
        <v>13</v>
      </c>
      <c r="E747" s="1" t="s">
        <v>14</v>
      </c>
      <c r="F747" s="1" t="s">
        <v>15</v>
      </c>
      <c r="G747" s="1" t="s">
        <v>21</v>
      </c>
      <c r="H747" s="1" t="s">
        <v>17</v>
      </c>
      <c r="I747" s="4">
        <v>4553.2299999999996</v>
      </c>
      <c r="J747" s="4">
        <v>5038.74</v>
      </c>
      <c r="K747">
        <v>12</v>
      </c>
      <c r="L747" s="3">
        <v>0.09</v>
      </c>
      <c r="M747" s="4">
        <v>54638.76</v>
      </c>
      <c r="N747" s="4">
        <v>60463.8</v>
      </c>
      <c r="O747" s="4">
        <v>5825.04</v>
      </c>
      <c r="P747" s="3">
        <v>9.6339297232393595E-2</v>
      </c>
    </row>
    <row r="748" spans="1:16" x14ac:dyDescent="0.3">
      <c r="A748">
        <v>1016</v>
      </c>
      <c r="B748" s="2">
        <v>45016</v>
      </c>
      <c r="C748" s="1" t="s">
        <v>12</v>
      </c>
      <c r="D748" s="1" t="s">
        <v>13</v>
      </c>
      <c r="E748" s="1" t="s">
        <v>28</v>
      </c>
      <c r="F748" s="1" t="s">
        <v>20</v>
      </c>
      <c r="G748" s="1" t="s">
        <v>16</v>
      </c>
      <c r="H748" s="1" t="s">
        <v>29</v>
      </c>
      <c r="I748" s="4">
        <v>3883.38</v>
      </c>
      <c r="J748" s="4">
        <v>4152.72</v>
      </c>
      <c r="K748">
        <v>38</v>
      </c>
      <c r="L748" s="3">
        <v>0.26</v>
      </c>
      <c r="M748" s="4">
        <v>147568.44</v>
      </c>
      <c r="N748" s="4">
        <v>157793.48000000001</v>
      </c>
      <c r="O748" s="4">
        <v>10225.040000000001</v>
      </c>
      <c r="P748" s="3">
        <v>6.4800142566093399E-2</v>
      </c>
    </row>
    <row r="749" spans="1:16" x14ac:dyDescent="0.3">
      <c r="A749">
        <v>1025</v>
      </c>
      <c r="B749" s="2">
        <v>45016</v>
      </c>
      <c r="C749" s="1" t="s">
        <v>18</v>
      </c>
      <c r="D749" s="1" t="s">
        <v>19</v>
      </c>
      <c r="E749" s="1" t="s">
        <v>24</v>
      </c>
      <c r="F749" s="1" t="s">
        <v>20</v>
      </c>
      <c r="G749" s="1" t="s">
        <v>21</v>
      </c>
      <c r="H749" s="1" t="s">
        <v>29</v>
      </c>
      <c r="I749" s="4">
        <v>2751.06</v>
      </c>
      <c r="J749" s="4">
        <v>2976.01</v>
      </c>
      <c r="K749">
        <v>4</v>
      </c>
      <c r="L749" s="3">
        <v>0.28000000000000003</v>
      </c>
      <c r="M749" s="4">
        <v>11004.24</v>
      </c>
      <c r="N749" s="4">
        <v>11902.92</v>
      </c>
      <c r="O749" s="4">
        <v>898.68</v>
      </c>
      <c r="P749" s="3">
        <v>7.5500801484005606E-2</v>
      </c>
    </row>
    <row r="750" spans="1:16" x14ac:dyDescent="0.3">
      <c r="A750">
        <v>1047</v>
      </c>
      <c r="B750" s="2">
        <v>45016</v>
      </c>
      <c r="C750" s="1" t="s">
        <v>26</v>
      </c>
      <c r="D750" s="1" t="s">
        <v>13</v>
      </c>
      <c r="E750" s="1" t="s">
        <v>28</v>
      </c>
      <c r="F750" s="1" t="s">
        <v>20</v>
      </c>
      <c r="G750" s="1" t="s">
        <v>21</v>
      </c>
      <c r="H750" s="1" t="s">
        <v>29</v>
      </c>
      <c r="I750" s="4">
        <v>3114.88</v>
      </c>
      <c r="J750" s="4">
        <v>3256.78</v>
      </c>
      <c r="K750">
        <v>37</v>
      </c>
      <c r="L750" s="3">
        <v>0.26</v>
      </c>
      <c r="M750" s="4">
        <v>115250.56</v>
      </c>
      <c r="N750" s="4">
        <v>120491.24</v>
      </c>
      <c r="O750" s="4">
        <v>5240.68</v>
      </c>
      <c r="P750" s="3">
        <v>4.34942822399371E-2</v>
      </c>
    </row>
    <row r="751" spans="1:16" x14ac:dyDescent="0.3">
      <c r="A751">
        <v>1005</v>
      </c>
      <c r="B751" s="2">
        <v>45015</v>
      </c>
      <c r="C751" s="1" t="s">
        <v>26</v>
      </c>
      <c r="D751" s="1" t="s">
        <v>13</v>
      </c>
      <c r="E751" s="1" t="s">
        <v>28</v>
      </c>
      <c r="F751" s="1" t="s">
        <v>15</v>
      </c>
      <c r="G751" s="1" t="s">
        <v>21</v>
      </c>
      <c r="H751" s="1" t="s">
        <v>17</v>
      </c>
      <c r="I751" s="4">
        <v>319.83</v>
      </c>
      <c r="J751" s="4">
        <v>802.43</v>
      </c>
      <c r="K751">
        <v>12</v>
      </c>
      <c r="L751" s="3">
        <v>0.04</v>
      </c>
      <c r="M751" s="4">
        <v>3837.96</v>
      </c>
      <c r="N751" s="4">
        <v>9628.68</v>
      </c>
      <c r="O751" s="4">
        <v>5790.72</v>
      </c>
      <c r="P751" s="3">
        <v>0.60140330761849004</v>
      </c>
    </row>
    <row r="752" spans="1:16" x14ac:dyDescent="0.3">
      <c r="A752">
        <v>1007</v>
      </c>
      <c r="B752" s="2">
        <v>45015</v>
      </c>
      <c r="C752" s="1" t="s">
        <v>18</v>
      </c>
      <c r="D752" s="1" t="s">
        <v>13</v>
      </c>
      <c r="E752" s="1" t="s">
        <v>24</v>
      </c>
      <c r="F752" s="1" t="s">
        <v>15</v>
      </c>
      <c r="G752" s="1" t="s">
        <v>16</v>
      </c>
      <c r="H752" s="1" t="s">
        <v>17</v>
      </c>
      <c r="I752" s="4">
        <v>1122.07</v>
      </c>
      <c r="J752" s="4">
        <v>1608.76</v>
      </c>
      <c r="K752">
        <v>14</v>
      </c>
      <c r="L752" s="3">
        <v>0.22</v>
      </c>
      <c r="M752" s="4">
        <v>15708.98</v>
      </c>
      <c r="N752" s="4">
        <v>22519.56</v>
      </c>
      <c r="O752" s="4">
        <v>6810.58</v>
      </c>
      <c r="P752" s="3">
        <v>0.30242953237096998</v>
      </c>
    </row>
    <row r="753" spans="1:16" x14ac:dyDescent="0.3">
      <c r="A753">
        <v>1009</v>
      </c>
      <c r="B753" s="2">
        <v>45015</v>
      </c>
      <c r="C753" s="1" t="s">
        <v>31</v>
      </c>
      <c r="D753" s="1" t="s">
        <v>27</v>
      </c>
      <c r="E753" s="1" t="s">
        <v>14</v>
      </c>
      <c r="F753" s="1" t="s">
        <v>15</v>
      </c>
      <c r="G753" s="1" t="s">
        <v>21</v>
      </c>
      <c r="H753" s="1" t="s">
        <v>29</v>
      </c>
      <c r="I753" s="4">
        <v>4364.3500000000004</v>
      </c>
      <c r="J753" s="4">
        <v>4710.1000000000004</v>
      </c>
      <c r="K753">
        <v>10</v>
      </c>
      <c r="L753" s="3">
        <v>7.0000000000000007E-2</v>
      </c>
      <c r="M753" s="4">
        <v>43643.5</v>
      </c>
      <c r="N753" s="4">
        <v>47100.3</v>
      </c>
      <c r="O753" s="4">
        <v>3456.8</v>
      </c>
      <c r="P753" s="3">
        <v>7.3392313849380997E-2</v>
      </c>
    </row>
    <row r="754" spans="1:16" x14ac:dyDescent="0.3">
      <c r="A754">
        <v>1085</v>
      </c>
      <c r="B754" s="2">
        <v>45015</v>
      </c>
      <c r="C754" s="1" t="s">
        <v>18</v>
      </c>
      <c r="D754" s="1" t="s">
        <v>19</v>
      </c>
      <c r="E754" s="1" t="s">
        <v>14</v>
      </c>
      <c r="F754" s="1" t="s">
        <v>20</v>
      </c>
      <c r="G754" s="1" t="s">
        <v>16</v>
      </c>
      <c r="H754" s="1" t="s">
        <v>17</v>
      </c>
      <c r="I754" s="4">
        <v>4763.1099999999997</v>
      </c>
      <c r="J754" s="4">
        <v>5119.91</v>
      </c>
      <c r="K754">
        <v>45</v>
      </c>
      <c r="L754" s="3">
        <v>0.28999999999999998</v>
      </c>
      <c r="M754" s="4">
        <v>214339.95</v>
      </c>
      <c r="N754" s="4">
        <v>230382.9</v>
      </c>
      <c r="O754" s="4">
        <v>16042.95</v>
      </c>
      <c r="P754" s="3">
        <v>6.9636027673928902E-2</v>
      </c>
    </row>
    <row r="755" spans="1:16" x14ac:dyDescent="0.3">
      <c r="A755">
        <v>1010</v>
      </c>
      <c r="B755" s="2">
        <v>45014</v>
      </c>
      <c r="C755" s="1" t="s">
        <v>26</v>
      </c>
      <c r="D755" s="1" t="s">
        <v>27</v>
      </c>
      <c r="E755" s="1" t="s">
        <v>22</v>
      </c>
      <c r="F755" s="1" t="s">
        <v>15</v>
      </c>
      <c r="G755" s="1" t="s">
        <v>21</v>
      </c>
      <c r="H755" s="1" t="s">
        <v>17</v>
      </c>
      <c r="I755" s="4">
        <v>1150.3</v>
      </c>
      <c r="J755" s="4">
        <v>1306.02</v>
      </c>
      <c r="K755">
        <v>49</v>
      </c>
      <c r="L755" s="3">
        <v>0.06</v>
      </c>
      <c r="M755" s="4">
        <v>56364.7</v>
      </c>
      <c r="N755" s="4">
        <v>63992.04</v>
      </c>
      <c r="O755" s="4">
        <v>7627.34</v>
      </c>
      <c r="P755" s="3">
        <v>0.119192012006493</v>
      </c>
    </row>
    <row r="756" spans="1:16" x14ac:dyDescent="0.3">
      <c r="A756">
        <v>1022</v>
      </c>
      <c r="B756" s="2">
        <v>45014</v>
      </c>
      <c r="C756" s="1" t="s">
        <v>23</v>
      </c>
      <c r="D756" s="1" t="s">
        <v>19</v>
      </c>
      <c r="E756" s="1" t="s">
        <v>24</v>
      </c>
      <c r="F756" s="1" t="s">
        <v>20</v>
      </c>
      <c r="G756" s="1" t="s">
        <v>25</v>
      </c>
      <c r="H756" s="1" t="s">
        <v>29</v>
      </c>
      <c r="I756" s="4">
        <v>4020.09</v>
      </c>
      <c r="J756" s="4">
        <v>4087.91</v>
      </c>
      <c r="K756">
        <v>45</v>
      </c>
      <c r="L756" s="3">
        <v>0.06</v>
      </c>
      <c r="M756" s="4">
        <v>180904.05</v>
      </c>
      <c r="N756" s="4">
        <v>183953.25</v>
      </c>
      <c r="O756" s="4">
        <v>3049.2</v>
      </c>
      <c r="P756" s="3">
        <v>1.6575950683121898E-2</v>
      </c>
    </row>
    <row r="757" spans="1:16" x14ac:dyDescent="0.3">
      <c r="A757">
        <v>1045</v>
      </c>
      <c r="B757" s="2">
        <v>45013</v>
      </c>
      <c r="C757" s="1" t="s">
        <v>12</v>
      </c>
      <c r="D757" s="1" t="s">
        <v>19</v>
      </c>
      <c r="E757" s="1" t="s">
        <v>14</v>
      </c>
      <c r="F757" s="1" t="s">
        <v>20</v>
      </c>
      <c r="G757" s="1" t="s">
        <v>25</v>
      </c>
      <c r="H757" s="1" t="s">
        <v>17</v>
      </c>
      <c r="I757" s="4">
        <v>635.28</v>
      </c>
      <c r="J757" s="4">
        <v>831.13</v>
      </c>
      <c r="K757">
        <v>14</v>
      </c>
      <c r="L757" s="3">
        <v>0.17</v>
      </c>
      <c r="M757" s="4">
        <v>8893.92</v>
      </c>
      <c r="N757" s="4">
        <v>11633.44</v>
      </c>
      <c r="O757" s="4">
        <v>2739.52</v>
      </c>
      <c r="P757" s="3">
        <v>0.235486666024839</v>
      </c>
    </row>
    <row r="758" spans="1:16" x14ac:dyDescent="0.3">
      <c r="A758">
        <v>1063</v>
      </c>
      <c r="B758" s="2">
        <v>45013</v>
      </c>
      <c r="C758" s="1" t="s">
        <v>31</v>
      </c>
      <c r="D758" s="1" t="s">
        <v>27</v>
      </c>
      <c r="E758" s="1" t="s">
        <v>22</v>
      </c>
      <c r="F758" s="1" t="s">
        <v>20</v>
      </c>
      <c r="G758" s="1" t="s">
        <v>25</v>
      </c>
      <c r="H758" s="1" t="s">
        <v>17</v>
      </c>
      <c r="I758" s="4">
        <v>1170.07</v>
      </c>
      <c r="J758" s="4">
        <v>1669.95</v>
      </c>
      <c r="K758">
        <v>42</v>
      </c>
      <c r="L758" s="3">
        <v>0.12</v>
      </c>
      <c r="M758" s="4">
        <v>49142.94</v>
      </c>
      <c r="N758" s="4">
        <v>70132.86</v>
      </c>
      <c r="O758" s="4">
        <v>20989.919999999998</v>
      </c>
      <c r="P758" s="3">
        <v>0.29928795146811399</v>
      </c>
    </row>
    <row r="759" spans="1:16" x14ac:dyDescent="0.3">
      <c r="A759">
        <v>1066</v>
      </c>
      <c r="B759" s="2">
        <v>45013</v>
      </c>
      <c r="C759" s="1" t="s">
        <v>31</v>
      </c>
      <c r="D759" s="1" t="s">
        <v>30</v>
      </c>
      <c r="E759" s="1" t="s">
        <v>14</v>
      </c>
      <c r="F759" s="1" t="s">
        <v>15</v>
      </c>
      <c r="G759" s="1" t="s">
        <v>25</v>
      </c>
      <c r="H759" s="1" t="s">
        <v>29</v>
      </c>
      <c r="I759" s="4">
        <v>523.41999999999996</v>
      </c>
      <c r="J759" s="4">
        <v>632.44000000000005</v>
      </c>
      <c r="K759">
        <v>7</v>
      </c>
      <c r="L759" s="3">
        <v>0.2</v>
      </c>
      <c r="M759" s="4">
        <v>3663.94</v>
      </c>
      <c r="N759" s="4">
        <v>4425.68</v>
      </c>
      <c r="O759" s="4">
        <v>761.74</v>
      </c>
      <c r="P759" s="3">
        <v>0.17211818296849299</v>
      </c>
    </row>
    <row r="760" spans="1:16" x14ac:dyDescent="0.3">
      <c r="A760">
        <v>1010</v>
      </c>
      <c r="B760" s="2">
        <v>45012</v>
      </c>
      <c r="C760" s="1" t="s">
        <v>12</v>
      </c>
      <c r="D760" s="1" t="s">
        <v>27</v>
      </c>
      <c r="E760" s="1" t="s">
        <v>14</v>
      </c>
      <c r="F760" s="1" t="s">
        <v>20</v>
      </c>
      <c r="G760" s="1" t="s">
        <v>25</v>
      </c>
      <c r="H760" s="1" t="s">
        <v>29</v>
      </c>
      <c r="I760" s="4">
        <v>4354.92</v>
      </c>
      <c r="J760" s="4">
        <v>4495.88</v>
      </c>
      <c r="K760">
        <v>37</v>
      </c>
      <c r="L760" s="3">
        <v>0.01</v>
      </c>
      <c r="M760" s="4">
        <v>161132.04</v>
      </c>
      <c r="N760" s="4">
        <v>166347.19</v>
      </c>
      <c r="O760" s="4">
        <v>5215.1499999999996</v>
      </c>
      <c r="P760" s="3">
        <v>3.1350995469174997E-2</v>
      </c>
    </row>
    <row r="761" spans="1:16" x14ac:dyDescent="0.3">
      <c r="A761">
        <v>1069</v>
      </c>
      <c r="B761" s="2">
        <v>45012</v>
      </c>
      <c r="C761" s="1" t="s">
        <v>18</v>
      </c>
      <c r="D761" s="1" t="s">
        <v>13</v>
      </c>
      <c r="E761" s="1" t="s">
        <v>28</v>
      </c>
      <c r="F761" s="1" t="s">
        <v>15</v>
      </c>
      <c r="G761" s="1" t="s">
        <v>16</v>
      </c>
      <c r="H761" s="1" t="s">
        <v>29</v>
      </c>
      <c r="I761" s="4">
        <v>4171.83</v>
      </c>
      <c r="J761" s="4">
        <v>4320.93</v>
      </c>
      <c r="K761">
        <v>47</v>
      </c>
      <c r="L761" s="3">
        <v>7.0000000000000007E-2</v>
      </c>
      <c r="M761" s="4">
        <v>196076.01</v>
      </c>
      <c r="N761" s="4">
        <v>203080.42</v>
      </c>
      <c r="O761" s="4">
        <v>7004.41</v>
      </c>
      <c r="P761" s="3">
        <v>3.4490818957337202E-2</v>
      </c>
    </row>
    <row r="762" spans="1:16" x14ac:dyDescent="0.3">
      <c r="A762">
        <v>1096</v>
      </c>
      <c r="B762" s="2">
        <v>45012</v>
      </c>
      <c r="C762" s="1" t="s">
        <v>26</v>
      </c>
      <c r="D762" s="1" t="s">
        <v>30</v>
      </c>
      <c r="E762" s="1" t="s">
        <v>14</v>
      </c>
      <c r="F762" s="1" t="s">
        <v>15</v>
      </c>
      <c r="G762" s="1" t="s">
        <v>21</v>
      </c>
      <c r="H762" s="1" t="s">
        <v>29</v>
      </c>
      <c r="I762" s="4">
        <v>2449.21</v>
      </c>
      <c r="J762" s="4">
        <v>2714.12</v>
      </c>
      <c r="K762">
        <v>48</v>
      </c>
      <c r="L762" s="3">
        <v>0.01</v>
      </c>
      <c r="M762" s="4">
        <v>117562.08</v>
      </c>
      <c r="N762" s="4">
        <v>130277.28</v>
      </c>
      <c r="O762" s="4">
        <v>12715.2</v>
      </c>
      <c r="P762" s="3">
        <v>9.7601055226206795E-2</v>
      </c>
    </row>
    <row r="763" spans="1:16" x14ac:dyDescent="0.3">
      <c r="A763">
        <v>1097</v>
      </c>
      <c r="B763" s="2">
        <v>45011</v>
      </c>
      <c r="C763" s="1" t="s">
        <v>18</v>
      </c>
      <c r="D763" s="1" t="s">
        <v>13</v>
      </c>
      <c r="E763" s="1" t="s">
        <v>14</v>
      </c>
      <c r="F763" s="1" t="s">
        <v>15</v>
      </c>
      <c r="G763" s="1" t="s">
        <v>25</v>
      </c>
      <c r="H763" s="1" t="s">
        <v>29</v>
      </c>
      <c r="I763" s="4">
        <v>1896.35</v>
      </c>
      <c r="J763" s="4">
        <v>2394.1999999999998</v>
      </c>
      <c r="K763">
        <v>7</v>
      </c>
      <c r="L763" s="3">
        <v>0.22</v>
      </c>
      <c r="M763" s="4">
        <v>13274.45</v>
      </c>
      <c r="N763" s="4">
        <v>16757.86</v>
      </c>
      <c r="O763" s="4">
        <v>3483.41</v>
      </c>
      <c r="P763" s="3">
        <v>0.207867233644391</v>
      </c>
    </row>
    <row r="764" spans="1:16" x14ac:dyDescent="0.3">
      <c r="A764">
        <v>1005</v>
      </c>
      <c r="B764" s="2">
        <v>45010</v>
      </c>
      <c r="C764" s="1" t="s">
        <v>23</v>
      </c>
      <c r="D764" s="1" t="s">
        <v>19</v>
      </c>
      <c r="E764" s="1" t="s">
        <v>14</v>
      </c>
      <c r="F764" s="1" t="s">
        <v>20</v>
      </c>
      <c r="G764" s="1" t="s">
        <v>21</v>
      </c>
      <c r="H764" s="1" t="s">
        <v>17</v>
      </c>
      <c r="I764" s="4">
        <v>1861.2</v>
      </c>
      <c r="J764" s="4">
        <v>2075.35</v>
      </c>
      <c r="K764">
        <v>14</v>
      </c>
      <c r="L764" s="3">
        <v>0.1</v>
      </c>
      <c r="M764" s="4">
        <v>26056.799999999999</v>
      </c>
      <c r="N764" s="4">
        <v>29053.5</v>
      </c>
      <c r="O764" s="4">
        <v>2996.7</v>
      </c>
      <c r="P764" s="3">
        <v>0.103144199494037</v>
      </c>
    </row>
    <row r="765" spans="1:16" x14ac:dyDescent="0.3">
      <c r="A765">
        <v>1049</v>
      </c>
      <c r="B765" s="2">
        <v>45010</v>
      </c>
      <c r="C765" s="1" t="s">
        <v>12</v>
      </c>
      <c r="D765" s="1" t="s">
        <v>13</v>
      </c>
      <c r="E765" s="1" t="s">
        <v>28</v>
      </c>
      <c r="F765" s="1" t="s">
        <v>20</v>
      </c>
      <c r="G765" s="1" t="s">
        <v>21</v>
      </c>
      <c r="H765" s="1" t="s">
        <v>29</v>
      </c>
      <c r="I765" s="4">
        <v>558.70000000000005</v>
      </c>
      <c r="J765" s="4">
        <v>1004.08</v>
      </c>
      <c r="K765">
        <v>17</v>
      </c>
      <c r="L765" s="3">
        <v>0.03</v>
      </c>
      <c r="M765" s="4">
        <v>9497.9</v>
      </c>
      <c r="N765" s="4">
        <v>17068.849999999999</v>
      </c>
      <c r="O765" s="4">
        <v>7570.95</v>
      </c>
      <c r="P765" s="3">
        <v>0.44355360788805298</v>
      </c>
    </row>
    <row r="766" spans="1:16" x14ac:dyDescent="0.3">
      <c r="A766">
        <v>1053</v>
      </c>
      <c r="B766" s="2">
        <v>45010</v>
      </c>
      <c r="C766" s="1" t="s">
        <v>23</v>
      </c>
      <c r="D766" s="1" t="s">
        <v>13</v>
      </c>
      <c r="E766" s="1" t="s">
        <v>14</v>
      </c>
      <c r="F766" s="1" t="s">
        <v>20</v>
      </c>
      <c r="G766" s="1" t="s">
        <v>16</v>
      </c>
      <c r="H766" s="1" t="s">
        <v>17</v>
      </c>
      <c r="I766" s="4">
        <v>1702.82</v>
      </c>
      <c r="J766" s="4">
        <v>1862.61</v>
      </c>
      <c r="K766">
        <v>1</v>
      </c>
      <c r="L766" s="3">
        <v>0.24</v>
      </c>
      <c r="M766" s="4">
        <v>1702.82</v>
      </c>
      <c r="N766" s="4">
        <v>1862.37</v>
      </c>
      <c r="O766" s="4">
        <v>159.55000000000001</v>
      </c>
      <c r="P766" s="3">
        <v>8.5670409209770398E-2</v>
      </c>
    </row>
    <row r="767" spans="1:16" x14ac:dyDescent="0.3">
      <c r="A767">
        <v>1055</v>
      </c>
      <c r="B767" s="2">
        <v>45010</v>
      </c>
      <c r="C767" s="1" t="s">
        <v>18</v>
      </c>
      <c r="D767" s="1" t="s">
        <v>13</v>
      </c>
      <c r="E767" s="1" t="s">
        <v>28</v>
      </c>
      <c r="F767" s="1" t="s">
        <v>15</v>
      </c>
      <c r="G767" s="1" t="s">
        <v>25</v>
      </c>
      <c r="H767" s="1" t="s">
        <v>17</v>
      </c>
      <c r="I767" s="4">
        <v>2495.1999999999998</v>
      </c>
      <c r="J767" s="4">
        <v>2600.9299999999998</v>
      </c>
      <c r="K767">
        <v>11</v>
      </c>
      <c r="L767" s="3">
        <v>0.21</v>
      </c>
      <c r="M767" s="4">
        <v>27447.200000000001</v>
      </c>
      <c r="N767" s="4">
        <v>28607.919999999998</v>
      </c>
      <c r="O767" s="4">
        <v>1160.72</v>
      </c>
      <c r="P767" s="3">
        <v>4.0573379679473401E-2</v>
      </c>
    </row>
    <row r="768" spans="1:16" x14ac:dyDescent="0.3">
      <c r="A768">
        <v>1074</v>
      </c>
      <c r="B768" s="2">
        <v>45010</v>
      </c>
      <c r="C768" s="1" t="s">
        <v>12</v>
      </c>
      <c r="D768" s="1" t="s">
        <v>19</v>
      </c>
      <c r="E768" s="1" t="s">
        <v>22</v>
      </c>
      <c r="F768" s="1" t="s">
        <v>20</v>
      </c>
      <c r="G768" s="1" t="s">
        <v>21</v>
      </c>
      <c r="H768" s="1" t="s">
        <v>29</v>
      </c>
      <c r="I768" s="4">
        <v>2610.6</v>
      </c>
      <c r="J768" s="4">
        <v>2836.94</v>
      </c>
      <c r="K768">
        <v>38</v>
      </c>
      <c r="L768" s="3">
        <v>0.19</v>
      </c>
      <c r="M768" s="4">
        <v>99202.8</v>
      </c>
      <c r="N768" s="4">
        <v>107796.5</v>
      </c>
      <c r="O768" s="4">
        <v>8593.7000000000007</v>
      </c>
      <c r="P768" s="3">
        <v>7.9721512293998403E-2</v>
      </c>
    </row>
    <row r="769" spans="1:16" x14ac:dyDescent="0.3">
      <c r="A769">
        <v>1092</v>
      </c>
      <c r="B769" s="2">
        <v>45010</v>
      </c>
      <c r="C769" s="1" t="s">
        <v>26</v>
      </c>
      <c r="D769" s="1" t="s">
        <v>19</v>
      </c>
      <c r="E769" s="1" t="s">
        <v>24</v>
      </c>
      <c r="F769" s="1" t="s">
        <v>15</v>
      </c>
      <c r="G769" s="1" t="s">
        <v>25</v>
      </c>
      <c r="H769" s="1" t="s">
        <v>17</v>
      </c>
      <c r="I769" s="4">
        <v>2315</v>
      </c>
      <c r="J769" s="4">
        <v>2467.2800000000002</v>
      </c>
      <c r="K769">
        <v>49</v>
      </c>
      <c r="L769" s="3">
        <v>0.15</v>
      </c>
      <c r="M769" s="4">
        <v>113435</v>
      </c>
      <c r="N769" s="4">
        <v>120889.37</v>
      </c>
      <c r="O769" s="4">
        <v>7454.37</v>
      </c>
      <c r="P769" s="3">
        <v>6.1662741728242897E-2</v>
      </c>
    </row>
    <row r="770" spans="1:16" x14ac:dyDescent="0.3">
      <c r="A770">
        <v>1061</v>
      </c>
      <c r="B770" s="2">
        <v>45009</v>
      </c>
      <c r="C770" s="1" t="s">
        <v>31</v>
      </c>
      <c r="D770" s="1" t="s">
        <v>13</v>
      </c>
      <c r="E770" s="1" t="s">
        <v>28</v>
      </c>
      <c r="F770" s="1" t="s">
        <v>15</v>
      </c>
      <c r="G770" s="1" t="s">
        <v>21</v>
      </c>
      <c r="H770" s="1" t="s">
        <v>29</v>
      </c>
      <c r="I770" s="4">
        <v>637.37</v>
      </c>
      <c r="J770" s="4">
        <v>692.71</v>
      </c>
      <c r="K770">
        <v>13</v>
      </c>
      <c r="L770" s="3">
        <v>0.08</v>
      </c>
      <c r="M770" s="4">
        <v>8285.81</v>
      </c>
      <c r="N770" s="4">
        <v>9004.19</v>
      </c>
      <c r="O770" s="4">
        <v>718.38</v>
      </c>
      <c r="P770" s="3">
        <v>7.9782856647849495E-2</v>
      </c>
    </row>
    <row r="771" spans="1:16" x14ac:dyDescent="0.3">
      <c r="A771">
        <v>1031</v>
      </c>
      <c r="B771" s="2">
        <v>45008</v>
      </c>
      <c r="C771" s="1" t="s">
        <v>12</v>
      </c>
      <c r="D771" s="1" t="s">
        <v>13</v>
      </c>
      <c r="E771" s="1" t="s">
        <v>14</v>
      </c>
      <c r="F771" s="1" t="s">
        <v>15</v>
      </c>
      <c r="G771" s="1" t="s">
        <v>16</v>
      </c>
      <c r="H771" s="1" t="s">
        <v>17</v>
      </c>
      <c r="I771" s="4">
        <v>3351.33</v>
      </c>
      <c r="J771" s="4">
        <v>3711.47</v>
      </c>
      <c r="K771">
        <v>32</v>
      </c>
      <c r="L771" s="3">
        <v>0.16</v>
      </c>
      <c r="M771" s="4">
        <v>107242.56</v>
      </c>
      <c r="N771" s="4">
        <v>118761.92</v>
      </c>
      <c r="O771" s="4">
        <v>11519.36</v>
      </c>
      <c r="P771" s="3">
        <v>9.6995400545898905E-2</v>
      </c>
    </row>
    <row r="772" spans="1:16" x14ac:dyDescent="0.3">
      <c r="A772">
        <v>1035</v>
      </c>
      <c r="B772" s="2">
        <v>45008</v>
      </c>
      <c r="C772" s="1" t="s">
        <v>18</v>
      </c>
      <c r="D772" s="1" t="s">
        <v>13</v>
      </c>
      <c r="E772" s="1" t="s">
        <v>14</v>
      </c>
      <c r="F772" s="1" t="s">
        <v>15</v>
      </c>
      <c r="G772" s="1" t="s">
        <v>16</v>
      </c>
      <c r="H772" s="1" t="s">
        <v>17</v>
      </c>
      <c r="I772" s="4">
        <v>1300.03</v>
      </c>
      <c r="J772" s="4">
        <v>1745.52</v>
      </c>
      <c r="K772">
        <v>30</v>
      </c>
      <c r="L772" s="3">
        <v>0.09</v>
      </c>
      <c r="M772" s="4">
        <v>39000.9</v>
      </c>
      <c r="N772" s="4">
        <v>52362.9</v>
      </c>
      <c r="O772" s="4">
        <v>13362</v>
      </c>
      <c r="P772" s="3">
        <v>0.25518067181153098</v>
      </c>
    </row>
    <row r="773" spans="1:16" x14ac:dyDescent="0.3">
      <c r="A773">
        <v>1078</v>
      </c>
      <c r="B773" s="2">
        <v>45008</v>
      </c>
      <c r="C773" s="1" t="s">
        <v>12</v>
      </c>
      <c r="D773" s="1" t="s">
        <v>19</v>
      </c>
      <c r="E773" s="1" t="s">
        <v>14</v>
      </c>
      <c r="F773" s="1" t="s">
        <v>15</v>
      </c>
      <c r="G773" s="1" t="s">
        <v>25</v>
      </c>
      <c r="H773" s="1" t="s">
        <v>29</v>
      </c>
      <c r="I773" s="4">
        <v>2396.6799999999998</v>
      </c>
      <c r="J773" s="4">
        <v>2661.54</v>
      </c>
      <c r="K773">
        <v>33</v>
      </c>
      <c r="L773" s="3">
        <v>0.18</v>
      </c>
      <c r="M773" s="4">
        <v>79090.44</v>
      </c>
      <c r="N773" s="4">
        <v>87824.88</v>
      </c>
      <c r="O773" s="4">
        <v>8734.44</v>
      </c>
      <c r="P773" s="3">
        <v>9.9452911293474E-2</v>
      </c>
    </row>
    <row r="774" spans="1:16" x14ac:dyDescent="0.3">
      <c r="A774">
        <v>1092</v>
      </c>
      <c r="B774" s="2">
        <v>45008</v>
      </c>
      <c r="C774" s="1" t="s">
        <v>23</v>
      </c>
      <c r="D774" s="1" t="s">
        <v>27</v>
      </c>
      <c r="E774" s="1" t="s">
        <v>22</v>
      </c>
      <c r="F774" s="1" t="s">
        <v>20</v>
      </c>
      <c r="G774" s="1" t="s">
        <v>25</v>
      </c>
      <c r="H774" s="1" t="s">
        <v>29</v>
      </c>
      <c r="I774" s="4">
        <v>3070.47</v>
      </c>
      <c r="J774" s="4">
        <v>3475.29</v>
      </c>
      <c r="K774">
        <v>18</v>
      </c>
      <c r="L774" s="3">
        <v>0.2</v>
      </c>
      <c r="M774" s="4">
        <v>55268.46</v>
      </c>
      <c r="N774" s="4">
        <v>62551.62</v>
      </c>
      <c r="O774" s="4">
        <v>7283.16</v>
      </c>
      <c r="P774" s="3">
        <v>0.116434394504891</v>
      </c>
    </row>
    <row r="775" spans="1:16" x14ac:dyDescent="0.3">
      <c r="A775">
        <v>1061</v>
      </c>
      <c r="B775" s="2">
        <v>45007</v>
      </c>
      <c r="C775" s="1" t="s">
        <v>26</v>
      </c>
      <c r="D775" s="1" t="s">
        <v>13</v>
      </c>
      <c r="E775" s="1" t="s">
        <v>14</v>
      </c>
      <c r="F775" s="1" t="s">
        <v>15</v>
      </c>
      <c r="G775" s="1" t="s">
        <v>25</v>
      </c>
      <c r="H775" s="1" t="s">
        <v>29</v>
      </c>
      <c r="I775" s="4">
        <v>2680.82</v>
      </c>
      <c r="J775" s="4">
        <v>2771.02</v>
      </c>
      <c r="K775">
        <v>34</v>
      </c>
      <c r="L775" s="3">
        <v>0.2</v>
      </c>
      <c r="M775" s="4">
        <v>91147.88</v>
      </c>
      <c r="N775" s="4">
        <v>94207.88</v>
      </c>
      <c r="O775" s="4">
        <v>3060</v>
      </c>
      <c r="P775" s="3">
        <v>3.2481359308796698E-2</v>
      </c>
    </row>
    <row r="776" spans="1:16" x14ac:dyDescent="0.3">
      <c r="A776">
        <v>1076</v>
      </c>
      <c r="B776" s="2">
        <v>45007</v>
      </c>
      <c r="C776" s="1" t="s">
        <v>31</v>
      </c>
      <c r="D776" s="1" t="s">
        <v>27</v>
      </c>
      <c r="E776" s="1" t="s">
        <v>22</v>
      </c>
      <c r="F776" s="1" t="s">
        <v>20</v>
      </c>
      <c r="G776" s="1" t="s">
        <v>21</v>
      </c>
      <c r="H776" s="1" t="s">
        <v>17</v>
      </c>
      <c r="I776" s="4">
        <v>2759.16</v>
      </c>
      <c r="J776" s="4">
        <v>2864.45</v>
      </c>
      <c r="K776">
        <v>23</v>
      </c>
      <c r="L776" s="3">
        <v>0.18</v>
      </c>
      <c r="M776" s="4">
        <v>63460.68</v>
      </c>
      <c r="N776" s="4">
        <v>65878.210000000006</v>
      </c>
      <c r="O776" s="4">
        <v>2417.5300000000002</v>
      </c>
      <c r="P776" s="3">
        <v>3.6696959434690202E-2</v>
      </c>
    </row>
    <row r="777" spans="1:16" x14ac:dyDescent="0.3">
      <c r="A777">
        <v>1097</v>
      </c>
      <c r="B777" s="2">
        <v>45007</v>
      </c>
      <c r="C777" s="1" t="s">
        <v>12</v>
      </c>
      <c r="D777" s="1" t="s">
        <v>30</v>
      </c>
      <c r="E777" s="1" t="s">
        <v>28</v>
      </c>
      <c r="F777" s="1" t="s">
        <v>20</v>
      </c>
      <c r="G777" s="1" t="s">
        <v>25</v>
      </c>
      <c r="H777" s="1" t="s">
        <v>29</v>
      </c>
      <c r="I777" s="4">
        <v>4885.9799999999996</v>
      </c>
      <c r="J777" s="4">
        <v>4949.95</v>
      </c>
      <c r="K777">
        <v>6</v>
      </c>
      <c r="L777" s="3">
        <v>0.17</v>
      </c>
      <c r="M777" s="4">
        <v>29315.88</v>
      </c>
      <c r="N777" s="4">
        <v>29698.68</v>
      </c>
      <c r="O777" s="4">
        <v>382.8</v>
      </c>
      <c r="P777" s="3">
        <v>1.28894617538557E-2</v>
      </c>
    </row>
    <row r="778" spans="1:16" x14ac:dyDescent="0.3">
      <c r="A778">
        <v>1069</v>
      </c>
      <c r="B778" s="2">
        <v>45006</v>
      </c>
      <c r="C778" s="1" t="s">
        <v>23</v>
      </c>
      <c r="D778" s="1" t="s">
        <v>13</v>
      </c>
      <c r="E778" s="1" t="s">
        <v>24</v>
      </c>
      <c r="F778" s="1" t="s">
        <v>15</v>
      </c>
      <c r="G778" s="1" t="s">
        <v>21</v>
      </c>
      <c r="H778" s="1" t="s">
        <v>29</v>
      </c>
      <c r="I778" s="4">
        <v>2462.66</v>
      </c>
      <c r="J778" s="4">
        <v>2908.09</v>
      </c>
      <c r="K778">
        <v>29</v>
      </c>
      <c r="L778" s="3">
        <v>0.12</v>
      </c>
      <c r="M778" s="4">
        <v>71417.14</v>
      </c>
      <c r="N778" s="4">
        <v>84331.13</v>
      </c>
      <c r="O778" s="4">
        <v>12913.99</v>
      </c>
      <c r="P778" s="3">
        <v>0.15313431706654501</v>
      </c>
    </row>
    <row r="779" spans="1:16" x14ac:dyDescent="0.3">
      <c r="A779">
        <v>1084</v>
      </c>
      <c r="B779" s="2">
        <v>45006</v>
      </c>
      <c r="C779" s="1" t="s">
        <v>12</v>
      </c>
      <c r="D779" s="1" t="s">
        <v>27</v>
      </c>
      <c r="E779" s="1" t="s">
        <v>22</v>
      </c>
      <c r="F779" s="1" t="s">
        <v>15</v>
      </c>
      <c r="G779" s="1" t="s">
        <v>25</v>
      </c>
      <c r="H779" s="1" t="s">
        <v>29</v>
      </c>
      <c r="I779" s="4">
        <v>2890.95</v>
      </c>
      <c r="J779" s="4">
        <v>3104.43</v>
      </c>
      <c r="K779">
        <v>40</v>
      </c>
      <c r="L779" s="3">
        <v>0.21</v>
      </c>
      <c r="M779" s="4">
        <v>115638</v>
      </c>
      <c r="N779" s="4">
        <v>124168.8</v>
      </c>
      <c r="O779" s="4">
        <v>8530.7999999999993</v>
      </c>
      <c r="P779" s="3">
        <v>6.87032491253841E-2</v>
      </c>
    </row>
    <row r="780" spans="1:16" x14ac:dyDescent="0.3">
      <c r="A780">
        <v>1011</v>
      </c>
      <c r="B780" s="2">
        <v>45005</v>
      </c>
      <c r="C780" s="1" t="s">
        <v>23</v>
      </c>
      <c r="D780" s="1" t="s">
        <v>13</v>
      </c>
      <c r="E780" s="1" t="s">
        <v>24</v>
      </c>
      <c r="F780" s="1" t="s">
        <v>20</v>
      </c>
      <c r="G780" s="1" t="s">
        <v>16</v>
      </c>
      <c r="H780" s="1" t="s">
        <v>29</v>
      </c>
      <c r="I780" s="4">
        <v>4906.17</v>
      </c>
      <c r="J780" s="4">
        <v>5107.43</v>
      </c>
      <c r="K780">
        <v>2</v>
      </c>
      <c r="L780" s="3">
        <v>0.1</v>
      </c>
      <c r="M780" s="4">
        <v>9812.34</v>
      </c>
      <c r="N780" s="4">
        <v>10214.66</v>
      </c>
      <c r="O780" s="4">
        <v>402.32</v>
      </c>
      <c r="P780" s="3">
        <v>3.93865287733512E-2</v>
      </c>
    </row>
    <row r="781" spans="1:16" x14ac:dyDescent="0.3">
      <c r="A781">
        <v>1026</v>
      </c>
      <c r="B781" s="2">
        <v>45005</v>
      </c>
      <c r="C781" s="1" t="s">
        <v>23</v>
      </c>
      <c r="D781" s="1" t="s">
        <v>13</v>
      </c>
      <c r="E781" s="1" t="s">
        <v>28</v>
      </c>
      <c r="F781" s="1" t="s">
        <v>15</v>
      </c>
      <c r="G781" s="1" t="s">
        <v>25</v>
      </c>
      <c r="H781" s="1" t="s">
        <v>29</v>
      </c>
      <c r="I781" s="4">
        <v>4991.68</v>
      </c>
      <c r="J781" s="4">
        <v>5296.65</v>
      </c>
      <c r="K781">
        <v>19</v>
      </c>
      <c r="L781" s="3">
        <v>0.12</v>
      </c>
      <c r="M781" s="4">
        <v>94841.919999999998</v>
      </c>
      <c r="N781" s="4">
        <v>100634.07</v>
      </c>
      <c r="O781" s="4">
        <v>5792.15</v>
      </c>
      <c r="P781" s="3">
        <v>5.7556551175958599E-2</v>
      </c>
    </row>
    <row r="782" spans="1:16" x14ac:dyDescent="0.3">
      <c r="A782">
        <v>1020</v>
      </c>
      <c r="B782" s="2">
        <v>45004</v>
      </c>
      <c r="C782" s="1" t="s">
        <v>12</v>
      </c>
      <c r="D782" s="1" t="s">
        <v>19</v>
      </c>
      <c r="E782" s="1" t="s">
        <v>22</v>
      </c>
      <c r="F782" s="1" t="s">
        <v>20</v>
      </c>
      <c r="G782" s="1" t="s">
        <v>25</v>
      </c>
      <c r="H782" s="1" t="s">
        <v>17</v>
      </c>
      <c r="I782" s="4">
        <v>1783.48</v>
      </c>
      <c r="J782" s="4">
        <v>1931.56</v>
      </c>
      <c r="K782">
        <v>19</v>
      </c>
      <c r="L782" s="3">
        <v>0.27</v>
      </c>
      <c r="M782" s="4">
        <v>33886.120000000003</v>
      </c>
      <c r="N782" s="4">
        <v>36694.51</v>
      </c>
      <c r="O782" s="4">
        <v>2808.39</v>
      </c>
      <c r="P782" s="3">
        <v>7.6534337152887405E-2</v>
      </c>
    </row>
    <row r="783" spans="1:16" x14ac:dyDescent="0.3">
      <c r="A783">
        <v>1030</v>
      </c>
      <c r="B783" s="2">
        <v>45004</v>
      </c>
      <c r="C783" s="1" t="s">
        <v>18</v>
      </c>
      <c r="D783" s="1" t="s">
        <v>13</v>
      </c>
      <c r="E783" s="1" t="s">
        <v>14</v>
      </c>
      <c r="F783" s="1" t="s">
        <v>20</v>
      </c>
      <c r="G783" s="1" t="s">
        <v>21</v>
      </c>
      <c r="H783" s="1" t="s">
        <v>29</v>
      </c>
      <c r="I783" s="4">
        <v>844.94</v>
      </c>
      <c r="J783" s="4">
        <v>1225.6400000000001</v>
      </c>
      <c r="K783">
        <v>2</v>
      </c>
      <c r="L783" s="3">
        <v>0.23</v>
      </c>
      <c r="M783" s="4">
        <v>1689.88</v>
      </c>
      <c r="N783" s="4">
        <v>2450.8200000000002</v>
      </c>
      <c r="O783" s="4">
        <v>760.94</v>
      </c>
      <c r="P783" s="3">
        <v>0.31048383806236302</v>
      </c>
    </row>
    <row r="784" spans="1:16" x14ac:dyDescent="0.3">
      <c r="A784">
        <v>1035</v>
      </c>
      <c r="B784" s="2">
        <v>45004</v>
      </c>
      <c r="C784" s="1" t="s">
        <v>23</v>
      </c>
      <c r="D784" s="1" t="s">
        <v>27</v>
      </c>
      <c r="E784" s="1" t="s">
        <v>14</v>
      </c>
      <c r="F784" s="1" t="s">
        <v>20</v>
      </c>
      <c r="G784" s="1" t="s">
        <v>21</v>
      </c>
      <c r="H784" s="1" t="s">
        <v>17</v>
      </c>
      <c r="I784" s="4">
        <v>2534.94</v>
      </c>
      <c r="J784" s="4">
        <v>2755.56</v>
      </c>
      <c r="K784">
        <v>9</v>
      </c>
      <c r="L784" s="3">
        <v>0.13</v>
      </c>
      <c r="M784" s="4">
        <v>22814.46</v>
      </c>
      <c r="N784" s="4">
        <v>24798.87</v>
      </c>
      <c r="O784" s="4">
        <v>1984.41</v>
      </c>
      <c r="P784" s="3">
        <v>8.0020178338771106E-2</v>
      </c>
    </row>
    <row r="785" spans="1:16" x14ac:dyDescent="0.3">
      <c r="A785">
        <v>1016</v>
      </c>
      <c r="B785" s="2">
        <v>45003</v>
      </c>
      <c r="C785" s="1" t="s">
        <v>18</v>
      </c>
      <c r="D785" s="1" t="s">
        <v>27</v>
      </c>
      <c r="E785" s="1" t="s">
        <v>22</v>
      </c>
      <c r="F785" s="1" t="s">
        <v>15</v>
      </c>
      <c r="G785" s="1" t="s">
        <v>21</v>
      </c>
      <c r="H785" s="1" t="s">
        <v>17</v>
      </c>
      <c r="I785" s="4">
        <v>688.98</v>
      </c>
      <c r="J785" s="4">
        <v>863.81</v>
      </c>
      <c r="K785">
        <v>4</v>
      </c>
      <c r="L785" s="3">
        <v>0.27</v>
      </c>
      <c r="M785" s="4">
        <v>2755.92</v>
      </c>
      <c r="N785" s="4">
        <v>3454.16</v>
      </c>
      <c r="O785" s="4">
        <v>698.24</v>
      </c>
      <c r="P785" s="3">
        <v>0.20214466035157599</v>
      </c>
    </row>
    <row r="786" spans="1:16" x14ac:dyDescent="0.3">
      <c r="A786">
        <v>1095</v>
      </c>
      <c r="B786" s="2">
        <v>45003</v>
      </c>
      <c r="C786" s="1" t="s">
        <v>12</v>
      </c>
      <c r="D786" s="1" t="s">
        <v>27</v>
      </c>
      <c r="E786" s="1" t="s">
        <v>24</v>
      </c>
      <c r="F786" s="1" t="s">
        <v>20</v>
      </c>
      <c r="G786" s="1" t="s">
        <v>25</v>
      </c>
      <c r="H786" s="1" t="s">
        <v>17</v>
      </c>
      <c r="I786" s="4">
        <v>1331.86</v>
      </c>
      <c r="J786" s="4">
        <v>1758.98</v>
      </c>
      <c r="K786">
        <v>43</v>
      </c>
      <c r="L786" s="3">
        <v>0.23</v>
      </c>
      <c r="M786" s="4">
        <v>57269.98</v>
      </c>
      <c r="N786" s="4">
        <v>75626.25</v>
      </c>
      <c r="O786" s="4">
        <v>18356.27</v>
      </c>
      <c r="P786" s="3">
        <v>0.242723525230988</v>
      </c>
    </row>
    <row r="787" spans="1:16" x14ac:dyDescent="0.3">
      <c r="A787">
        <v>1017</v>
      </c>
      <c r="B787" s="2">
        <v>45002</v>
      </c>
      <c r="C787" s="1" t="s">
        <v>23</v>
      </c>
      <c r="D787" s="1" t="s">
        <v>30</v>
      </c>
      <c r="E787" s="1" t="s">
        <v>14</v>
      </c>
      <c r="F787" s="1" t="s">
        <v>20</v>
      </c>
      <c r="G787" s="1" t="s">
        <v>16</v>
      </c>
      <c r="H787" s="1" t="s">
        <v>17</v>
      </c>
      <c r="I787" s="4">
        <v>3780.91</v>
      </c>
      <c r="J787" s="4">
        <v>3892.73</v>
      </c>
      <c r="K787">
        <v>28</v>
      </c>
      <c r="L787" s="3">
        <v>0.1</v>
      </c>
      <c r="M787" s="4">
        <v>105865.48</v>
      </c>
      <c r="N787" s="4">
        <v>108993.64</v>
      </c>
      <c r="O787" s="4">
        <v>3128.16</v>
      </c>
      <c r="P787" s="3">
        <v>2.8700390224603901E-2</v>
      </c>
    </row>
    <row r="788" spans="1:16" x14ac:dyDescent="0.3">
      <c r="A788">
        <v>1024</v>
      </c>
      <c r="B788" s="2">
        <v>45002</v>
      </c>
      <c r="C788" s="1" t="s">
        <v>12</v>
      </c>
      <c r="D788" s="1" t="s">
        <v>27</v>
      </c>
      <c r="E788" s="1" t="s">
        <v>28</v>
      </c>
      <c r="F788" s="1" t="s">
        <v>20</v>
      </c>
      <c r="G788" s="1" t="s">
        <v>25</v>
      </c>
      <c r="H788" s="1" t="s">
        <v>17</v>
      </c>
      <c r="I788" s="4">
        <v>2016.49</v>
      </c>
      <c r="J788" s="4">
        <v>2338.66</v>
      </c>
      <c r="K788">
        <v>46</v>
      </c>
      <c r="L788" s="3">
        <v>0.19</v>
      </c>
      <c r="M788" s="4">
        <v>92758.54</v>
      </c>
      <c r="N788" s="4">
        <v>107569.62</v>
      </c>
      <c r="O788" s="4">
        <v>14811.08</v>
      </c>
      <c r="P788" s="3">
        <v>0.137688317575167</v>
      </c>
    </row>
    <row r="789" spans="1:16" x14ac:dyDescent="0.3">
      <c r="A789">
        <v>1036</v>
      </c>
      <c r="B789" s="2">
        <v>45002</v>
      </c>
      <c r="C789" s="1" t="s">
        <v>26</v>
      </c>
      <c r="D789" s="1" t="s">
        <v>13</v>
      </c>
      <c r="E789" s="1" t="s">
        <v>22</v>
      </c>
      <c r="F789" s="1" t="s">
        <v>15</v>
      </c>
      <c r="G789" s="1" t="s">
        <v>25</v>
      </c>
      <c r="H789" s="1" t="s">
        <v>17</v>
      </c>
      <c r="I789" s="4">
        <v>3335.53</v>
      </c>
      <c r="J789" s="4">
        <v>3742.12</v>
      </c>
      <c r="K789">
        <v>23</v>
      </c>
      <c r="L789" s="3">
        <v>0.03</v>
      </c>
      <c r="M789" s="4">
        <v>76717.19</v>
      </c>
      <c r="N789" s="4">
        <v>86068.07</v>
      </c>
      <c r="O789" s="4">
        <v>9350.8799999999992</v>
      </c>
      <c r="P789" s="3">
        <v>0.108645168876216</v>
      </c>
    </row>
    <row r="790" spans="1:16" x14ac:dyDescent="0.3">
      <c r="A790">
        <v>1039</v>
      </c>
      <c r="B790" s="2">
        <v>45001</v>
      </c>
      <c r="C790" s="1" t="s">
        <v>12</v>
      </c>
      <c r="D790" s="1" t="s">
        <v>30</v>
      </c>
      <c r="E790" s="1" t="s">
        <v>24</v>
      </c>
      <c r="F790" s="1" t="s">
        <v>15</v>
      </c>
      <c r="G790" s="1" t="s">
        <v>21</v>
      </c>
      <c r="H790" s="1" t="s">
        <v>17</v>
      </c>
      <c r="I790" s="4">
        <v>2735.74</v>
      </c>
      <c r="J790" s="4">
        <v>3181.23</v>
      </c>
      <c r="K790">
        <v>35</v>
      </c>
      <c r="L790" s="3">
        <v>0.1</v>
      </c>
      <c r="M790" s="4">
        <v>95750.9</v>
      </c>
      <c r="N790" s="4">
        <v>111339.55</v>
      </c>
      <c r="O790" s="4">
        <v>15588.65</v>
      </c>
      <c r="P790" s="3">
        <v>0.14000999644780299</v>
      </c>
    </row>
    <row r="791" spans="1:16" x14ac:dyDescent="0.3">
      <c r="A791">
        <v>1062</v>
      </c>
      <c r="B791" s="2">
        <v>45001</v>
      </c>
      <c r="C791" s="1" t="s">
        <v>18</v>
      </c>
      <c r="D791" s="1" t="s">
        <v>19</v>
      </c>
      <c r="E791" s="1" t="s">
        <v>24</v>
      </c>
      <c r="F791" s="1" t="s">
        <v>20</v>
      </c>
      <c r="G791" s="1" t="s">
        <v>21</v>
      </c>
      <c r="H791" s="1" t="s">
        <v>29</v>
      </c>
      <c r="I791" s="4">
        <v>4849.6000000000004</v>
      </c>
      <c r="J791" s="4">
        <v>5166.72</v>
      </c>
      <c r="K791">
        <v>45</v>
      </c>
      <c r="L791" s="3">
        <v>0.25</v>
      </c>
      <c r="M791" s="4">
        <v>218232</v>
      </c>
      <c r="N791" s="4">
        <v>232491.15</v>
      </c>
      <c r="O791" s="4">
        <v>14259.15</v>
      </c>
      <c r="P791" s="3">
        <v>6.1332011992714597E-2</v>
      </c>
    </row>
    <row r="792" spans="1:16" x14ac:dyDescent="0.3">
      <c r="A792">
        <v>1097</v>
      </c>
      <c r="B792" s="2">
        <v>45001</v>
      </c>
      <c r="C792" s="1" t="s">
        <v>18</v>
      </c>
      <c r="D792" s="1" t="s">
        <v>27</v>
      </c>
      <c r="E792" s="1" t="s">
        <v>22</v>
      </c>
      <c r="F792" s="1" t="s">
        <v>15</v>
      </c>
      <c r="G792" s="1" t="s">
        <v>21</v>
      </c>
      <c r="H792" s="1" t="s">
        <v>29</v>
      </c>
      <c r="I792" s="4">
        <v>1958.49</v>
      </c>
      <c r="J792" s="4">
        <v>2254.84</v>
      </c>
      <c r="K792">
        <v>35</v>
      </c>
      <c r="L792" s="3">
        <v>0.16</v>
      </c>
      <c r="M792" s="4">
        <v>68547.149999999994</v>
      </c>
      <c r="N792" s="4">
        <v>78913.8</v>
      </c>
      <c r="O792" s="4">
        <v>10366.65</v>
      </c>
      <c r="P792" s="3">
        <v>0.13136675714513801</v>
      </c>
    </row>
    <row r="793" spans="1:16" x14ac:dyDescent="0.3">
      <c r="A793">
        <v>1098</v>
      </c>
      <c r="B793" s="2">
        <v>45001</v>
      </c>
      <c r="C793" s="1" t="s">
        <v>18</v>
      </c>
      <c r="D793" s="1" t="s">
        <v>27</v>
      </c>
      <c r="E793" s="1" t="s">
        <v>24</v>
      </c>
      <c r="F793" s="1" t="s">
        <v>15</v>
      </c>
      <c r="G793" s="1" t="s">
        <v>16</v>
      </c>
      <c r="H793" s="1" t="s">
        <v>17</v>
      </c>
      <c r="I793" s="4">
        <v>741.48</v>
      </c>
      <c r="J793" s="4">
        <v>878.09</v>
      </c>
      <c r="K793">
        <v>11</v>
      </c>
      <c r="L793" s="3">
        <v>0.28999999999999998</v>
      </c>
      <c r="M793" s="4">
        <v>8156.28</v>
      </c>
      <c r="N793" s="4">
        <v>9655.7999999999993</v>
      </c>
      <c r="O793" s="4">
        <v>1499.52</v>
      </c>
      <c r="P793" s="3">
        <v>0.15529733424470299</v>
      </c>
    </row>
    <row r="794" spans="1:16" x14ac:dyDescent="0.3">
      <c r="A794">
        <v>1060</v>
      </c>
      <c r="B794" s="2">
        <v>45000</v>
      </c>
      <c r="C794" s="1" t="s">
        <v>18</v>
      </c>
      <c r="D794" s="1" t="s">
        <v>27</v>
      </c>
      <c r="E794" s="1" t="s">
        <v>14</v>
      </c>
      <c r="F794" s="1" t="s">
        <v>20</v>
      </c>
      <c r="G794" s="1" t="s">
        <v>16</v>
      </c>
      <c r="H794" s="1" t="s">
        <v>29</v>
      </c>
      <c r="I794" s="4">
        <v>2211.9499999999998</v>
      </c>
      <c r="J794" s="4">
        <v>2512.84</v>
      </c>
      <c r="K794">
        <v>44</v>
      </c>
      <c r="L794" s="3">
        <v>0.04</v>
      </c>
      <c r="M794" s="4">
        <v>97325.8</v>
      </c>
      <c r="N794" s="4">
        <v>110563.2</v>
      </c>
      <c r="O794" s="4">
        <v>13237.4</v>
      </c>
      <c r="P794" s="3">
        <v>0.11972699777140999</v>
      </c>
    </row>
    <row r="795" spans="1:16" x14ac:dyDescent="0.3">
      <c r="A795">
        <v>1021</v>
      </c>
      <c r="B795" s="2">
        <v>44999</v>
      </c>
      <c r="C795" s="1" t="s">
        <v>18</v>
      </c>
      <c r="D795" s="1" t="s">
        <v>27</v>
      </c>
      <c r="E795" s="1" t="s">
        <v>22</v>
      </c>
      <c r="F795" s="1" t="s">
        <v>20</v>
      </c>
      <c r="G795" s="1" t="s">
        <v>16</v>
      </c>
      <c r="H795" s="1" t="s">
        <v>17</v>
      </c>
      <c r="I795" s="4">
        <v>580.75</v>
      </c>
      <c r="J795" s="4">
        <v>956.16</v>
      </c>
      <c r="K795">
        <v>23</v>
      </c>
      <c r="L795" s="3">
        <v>7.0000000000000007E-2</v>
      </c>
      <c r="M795" s="4">
        <v>13357.25</v>
      </c>
      <c r="N795" s="4">
        <v>21990.07</v>
      </c>
      <c r="O795" s="4">
        <v>8632.82</v>
      </c>
      <c r="P795" s="3">
        <v>0.39257810457174502</v>
      </c>
    </row>
    <row r="796" spans="1:16" x14ac:dyDescent="0.3">
      <c r="A796">
        <v>1062</v>
      </c>
      <c r="B796" s="2">
        <v>44999</v>
      </c>
      <c r="C796" s="1" t="s">
        <v>26</v>
      </c>
      <c r="D796" s="1" t="s">
        <v>13</v>
      </c>
      <c r="E796" s="1" t="s">
        <v>22</v>
      </c>
      <c r="F796" s="1" t="s">
        <v>20</v>
      </c>
      <c r="G796" s="1" t="s">
        <v>25</v>
      </c>
      <c r="H796" s="1" t="s">
        <v>17</v>
      </c>
      <c r="I796" s="4">
        <v>3018.01</v>
      </c>
      <c r="J796" s="4">
        <v>3418.19</v>
      </c>
      <c r="K796">
        <v>24</v>
      </c>
      <c r="L796" s="3">
        <v>0.23</v>
      </c>
      <c r="M796" s="4">
        <v>72432.240000000005</v>
      </c>
      <c r="N796" s="4">
        <v>82031.039999999994</v>
      </c>
      <c r="O796" s="4">
        <v>9598.7999999999993</v>
      </c>
      <c r="P796" s="3">
        <v>0.117014242413603</v>
      </c>
    </row>
    <row r="797" spans="1:16" x14ac:dyDescent="0.3">
      <c r="A797">
        <v>1090</v>
      </c>
      <c r="B797" s="2">
        <v>44999</v>
      </c>
      <c r="C797" s="1" t="s">
        <v>18</v>
      </c>
      <c r="D797" s="1" t="s">
        <v>13</v>
      </c>
      <c r="E797" s="1" t="s">
        <v>24</v>
      </c>
      <c r="F797" s="1" t="s">
        <v>15</v>
      </c>
      <c r="G797" s="1" t="s">
        <v>16</v>
      </c>
      <c r="H797" s="1" t="s">
        <v>17</v>
      </c>
      <c r="I797" s="4">
        <v>2310.8200000000002</v>
      </c>
      <c r="J797" s="4">
        <v>2714.71</v>
      </c>
      <c r="K797">
        <v>47</v>
      </c>
      <c r="L797" s="3">
        <v>0.19</v>
      </c>
      <c r="M797" s="4">
        <v>108608.54</v>
      </c>
      <c r="N797" s="4">
        <v>127582.44</v>
      </c>
      <c r="O797" s="4">
        <v>18973.900000000001</v>
      </c>
      <c r="P797" s="3">
        <v>0.14871874217172801</v>
      </c>
    </row>
    <row r="798" spans="1:16" x14ac:dyDescent="0.3">
      <c r="A798">
        <v>1030</v>
      </c>
      <c r="B798" s="2">
        <v>44998</v>
      </c>
      <c r="C798" s="1" t="s">
        <v>26</v>
      </c>
      <c r="D798" s="1" t="s">
        <v>30</v>
      </c>
      <c r="E798" s="1" t="s">
        <v>22</v>
      </c>
      <c r="F798" s="1" t="s">
        <v>15</v>
      </c>
      <c r="G798" s="1" t="s">
        <v>21</v>
      </c>
      <c r="H798" s="1" t="s">
        <v>17</v>
      </c>
      <c r="I798" s="4">
        <v>2511.2800000000002</v>
      </c>
      <c r="J798" s="4">
        <v>2658.06</v>
      </c>
      <c r="K798">
        <v>39</v>
      </c>
      <c r="L798" s="3">
        <v>0.19</v>
      </c>
      <c r="M798" s="4">
        <v>97939.92</v>
      </c>
      <c r="N798" s="4">
        <v>103656.93</v>
      </c>
      <c r="O798" s="4">
        <v>5717.01</v>
      </c>
      <c r="P798" s="3">
        <v>5.5153186574211699E-2</v>
      </c>
    </row>
    <row r="799" spans="1:16" x14ac:dyDescent="0.3">
      <c r="A799">
        <v>1032</v>
      </c>
      <c r="B799" s="2">
        <v>44998</v>
      </c>
      <c r="C799" s="1" t="s">
        <v>26</v>
      </c>
      <c r="D799" s="1" t="s">
        <v>30</v>
      </c>
      <c r="E799" s="1" t="s">
        <v>28</v>
      </c>
      <c r="F799" s="1" t="s">
        <v>15</v>
      </c>
      <c r="G799" s="1" t="s">
        <v>21</v>
      </c>
      <c r="H799" s="1" t="s">
        <v>29</v>
      </c>
      <c r="I799" s="4">
        <v>4741.59</v>
      </c>
      <c r="J799" s="4">
        <v>4975.2299999999996</v>
      </c>
      <c r="K799">
        <v>20</v>
      </c>
      <c r="L799" s="3">
        <v>0.09</v>
      </c>
      <c r="M799" s="4">
        <v>94831.8</v>
      </c>
      <c r="N799" s="4">
        <v>99502.8</v>
      </c>
      <c r="O799" s="4">
        <v>4671</v>
      </c>
      <c r="P799" s="3">
        <v>4.6943402597715803E-2</v>
      </c>
    </row>
    <row r="800" spans="1:16" x14ac:dyDescent="0.3">
      <c r="A800">
        <v>1038</v>
      </c>
      <c r="B800" s="2">
        <v>44998</v>
      </c>
      <c r="C800" s="1" t="s">
        <v>18</v>
      </c>
      <c r="D800" s="1" t="s">
        <v>30</v>
      </c>
      <c r="E800" s="1" t="s">
        <v>14</v>
      </c>
      <c r="F800" s="1" t="s">
        <v>15</v>
      </c>
      <c r="G800" s="1" t="s">
        <v>25</v>
      </c>
      <c r="H800" s="1" t="s">
        <v>17</v>
      </c>
      <c r="I800" s="4">
        <v>400.42</v>
      </c>
      <c r="J800" s="4">
        <v>446.11</v>
      </c>
      <c r="K800">
        <v>9</v>
      </c>
      <c r="L800" s="3">
        <v>0.01</v>
      </c>
      <c r="M800" s="4">
        <v>3603.78</v>
      </c>
      <c r="N800" s="4">
        <v>4014.9</v>
      </c>
      <c r="O800" s="4">
        <v>411.12</v>
      </c>
      <c r="P800" s="3">
        <v>0.102398565344093</v>
      </c>
    </row>
    <row r="801" spans="1:16" x14ac:dyDescent="0.3">
      <c r="A801">
        <v>1061</v>
      </c>
      <c r="B801" s="2">
        <v>44998</v>
      </c>
      <c r="C801" s="1" t="s">
        <v>23</v>
      </c>
      <c r="D801" s="1" t="s">
        <v>27</v>
      </c>
      <c r="E801" s="1" t="s">
        <v>14</v>
      </c>
      <c r="F801" s="1" t="s">
        <v>20</v>
      </c>
      <c r="G801" s="1" t="s">
        <v>25</v>
      </c>
      <c r="H801" s="1" t="s">
        <v>17</v>
      </c>
      <c r="I801" s="4">
        <v>2594.71</v>
      </c>
      <c r="J801" s="4">
        <v>2769.52</v>
      </c>
      <c r="K801">
        <v>11</v>
      </c>
      <c r="L801" s="3">
        <v>0.01</v>
      </c>
      <c r="M801" s="4">
        <v>28541.81</v>
      </c>
      <c r="N801" s="4">
        <v>30464.61</v>
      </c>
      <c r="O801" s="4">
        <v>1922.8</v>
      </c>
      <c r="P801" s="3">
        <v>6.3115858039869896E-2</v>
      </c>
    </row>
    <row r="802" spans="1:16" x14ac:dyDescent="0.3">
      <c r="A802">
        <v>1038</v>
      </c>
      <c r="B802" s="2">
        <v>44996</v>
      </c>
      <c r="C802" s="1" t="s">
        <v>23</v>
      </c>
      <c r="D802" s="1" t="s">
        <v>27</v>
      </c>
      <c r="E802" s="1" t="s">
        <v>14</v>
      </c>
      <c r="F802" s="1" t="s">
        <v>20</v>
      </c>
      <c r="G802" s="1" t="s">
        <v>16</v>
      </c>
      <c r="H802" s="1" t="s">
        <v>29</v>
      </c>
      <c r="I802" s="4">
        <v>2543.36</v>
      </c>
      <c r="J802" s="4">
        <v>2790.1</v>
      </c>
      <c r="K802">
        <v>15</v>
      </c>
      <c r="L802" s="3">
        <v>7.0000000000000007E-2</v>
      </c>
      <c r="M802" s="4">
        <v>38150.400000000001</v>
      </c>
      <c r="N802" s="4">
        <v>41850.449999999997</v>
      </c>
      <c r="O802" s="4">
        <v>3700.05</v>
      </c>
      <c r="P802" s="3">
        <v>8.84112357214797E-2</v>
      </c>
    </row>
    <row r="803" spans="1:16" x14ac:dyDescent="0.3">
      <c r="A803">
        <v>1027</v>
      </c>
      <c r="B803" s="2">
        <v>44995</v>
      </c>
      <c r="C803" s="1" t="s">
        <v>12</v>
      </c>
      <c r="D803" s="1" t="s">
        <v>27</v>
      </c>
      <c r="E803" s="1" t="s">
        <v>22</v>
      </c>
      <c r="F803" s="1" t="s">
        <v>20</v>
      </c>
      <c r="G803" s="1" t="s">
        <v>25</v>
      </c>
      <c r="H803" s="1" t="s">
        <v>29</v>
      </c>
      <c r="I803" s="4">
        <v>2511.41</v>
      </c>
      <c r="J803" s="4">
        <v>2848.4</v>
      </c>
      <c r="K803">
        <v>21</v>
      </c>
      <c r="L803" s="3">
        <v>0.06</v>
      </c>
      <c r="M803" s="4">
        <v>52739.61</v>
      </c>
      <c r="N803" s="4">
        <v>59815.14</v>
      </c>
      <c r="O803" s="4">
        <v>7075.53</v>
      </c>
      <c r="P803" s="3">
        <v>0.118289951340079</v>
      </c>
    </row>
    <row r="804" spans="1:16" x14ac:dyDescent="0.3">
      <c r="A804">
        <v>1040</v>
      </c>
      <c r="B804" s="2">
        <v>44995</v>
      </c>
      <c r="C804" s="1" t="s">
        <v>26</v>
      </c>
      <c r="D804" s="1" t="s">
        <v>13</v>
      </c>
      <c r="E804" s="1" t="s">
        <v>28</v>
      </c>
      <c r="F804" s="1" t="s">
        <v>15</v>
      </c>
      <c r="G804" s="1" t="s">
        <v>16</v>
      </c>
      <c r="H804" s="1" t="s">
        <v>17</v>
      </c>
      <c r="I804" s="4">
        <v>4205.29</v>
      </c>
      <c r="J804" s="4">
        <v>4382.3500000000004</v>
      </c>
      <c r="K804">
        <v>42</v>
      </c>
      <c r="L804" s="3">
        <v>0.25</v>
      </c>
      <c r="M804" s="4">
        <v>176622.18</v>
      </c>
      <c r="N804" s="4">
        <v>184048.2</v>
      </c>
      <c r="O804" s="4">
        <v>7426.02</v>
      </c>
      <c r="P804" s="3">
        <v>4.0348234864562703E-2</v>
      </c>
    </row>
    <row r="805" spans="1:16" x14ac:dyDescent="0.3">
      <c r="A805">
        <v>1040</v>
      </c>
      <c r="B805" s="2">
        <v>44995</v>
      </c>
      <c r="C805" s="1" t="s">
        <v>31</v>
      </c>
      <c r="D805" s="1" t="s">
        <v>13</v>
      </c>
      <c r="E805" s="1" t="s">
        <v>14</v>
      </c>
      <c r="F805" s="1" t="s">
        <v>20</v>
      </c>
      <c r="G805" s="1" t="s">
        <v>21</v>
      </c>
      <c r="H805" s="1" t="s">
        <v>29</v>
      </c>
      <c r="I805" s="4">
        <v>2750.18</v>
      </c>
      <c r="J805" s="4">
        <v>2882.85</v>
      </c>
      <c r="K805">
        <v>13</v>
      </c>
      <c r="L805" s="3">
        <v>0.24</v>
      </c>
      <c r="M805" s="4">
        <v>35752.339999999997</v>
      </c>
      <c r="N805" s="4">
        <v>37473.93</v>
      </c>
      <c r="O805" s="4">
        <v>1721.59</v>
      </c>
      <c r="P805" s="3">
        <v>4.5941004853240597E-2</v>
      </c>
    </row>
    <row r="806" spans="1:16" x14ac:dyDescent="0.3">
      <c r="A806">
        <v>1058</v>
      </c>
      <c r="B806" s="2">
        <v>44994</v>
      </c>
      <c r="C806" s="1" t="s">
        <v>12</v>
      </c>
      <c r="D806" s="1" t="s">
        <v>27</v>
      </c>
      <c r="E806" s="1" t="s">
        <v>24</v>
      </c>
      <c r="F806" s="1" t="s">
        <v>20</v>
      </c>
      <c r="G806" s="1" t="s">
        <v>21</v>
      </c>
      <c r="H806" s="1" t="s">
        <v>17</v>
      </c>
      <c r="I806" s="4">
        <v>2249.7600000000002</v>
      </c>
      <c r="J806" s="4">
        <v>2598.4</v>
      </c>
      <c r="K806">
        <v>40</v>
      </c>
      <c r="L806" s="3">
        <v>0.18</v>
      </c>
      <c r="M806" s="4">
        <v>89990.399999999994</v>
      </c>
      <c r="N806" s="4">
        <v>103928.8</v>
      </c>
      <c r="O806" s="4">
        <v>13938.4</v>
      </c>
      <c r="P806" s="3">
        <v>0.13411489404284499</v>
      </c>
    </row>
    <row r="807" spans="1:16" x14ac:dyDescent="0.3">
      <c r="A807">
        <v>1005</v>
      </c>
      <c r="B807" s="2">
        <v>44993</v>
      </c>
      <c r="C807" s="1" t="s">
        <v>26</v>
      </c>
      <c r="D807" s="1" t="s">
        <v>30</v>
      </c>
      <c r="E807" s="1" t="s">
        <v>14</v>
      </c>
      <c r="F807" s="1" t="s">
        <v>15</v>
      </c>
      <c r="G807" s="1" t="s">
        <v>21</v>
      </c>
      <c r="H807" s="1" t="s">
        <v>29</v>
      </c>
      <c r="I807" s="4">
        <v>253.29</v>
      </c>
      <c r="J807" s="4">
        <v>683.78</v>
      </c>
      <c r="K807">
        <v>12</v>
      </c>
      <c r="L807" s="3">
        <v>0.25</v>
      </c>
      <c r="M807" s="4">
        <v>3039.48</v>
      </c>
      <c r="N807" s="4">
        <v>8202.36</v>
      </c>
      <c r="O807" s="4">
        <v>5162.88</v>
      </c>
      <c r="P807" s="3">
        <v>0.62943835676561399</v>
      </c>
    </row>
    <row r="808" spans="1:16" x14ac:dyDescent="0.3">
      <c r="A808">
        <v>1067</v>
      </c>
      <c r="B808" s="2">
        <v>44993</v>
      </c>
      <c r="C808" s="1" t="s">
        <v>23</v>
      </c>
      <c r="D808" s="1" t="s">
        <v>13</v>
      </c>
      <c r="E808" s="1" t="s">
        <v>28</v>
      </c>
      <c r="F808" s="1" t="s">
        <v>15</v>
      </c>
      <c r="G808" s="1" t="s">
        <v>25</v>
      </c>
      <c r="H808" s="1" t="s">
        <v>29</v>
      </c>
      <c r="I808" s="4">
        <v>3489.85</v>
      </c>
      <c r="J808" s="4">
        <v>3842.55</v>
      </c>
      <c r="K808">
        <v>28</v>
      </c>
      <c r="L808" s="3">
        <v>0.03</v>
      </c>
      <c r="M808" s="4">
        <v>97715.8</v>
      </c>
      <c r="N808" s="4">
        <v>107590.56</v>
      </c>
      <c r="O808" s="4">
        <v>9874.76</v>
      </c>
      <c r="P808" s="3">
        <v>9.1780914608121794E-2</v>
      </c>
    </row>
    <row r="809" spans="1:16" x14ac:dyDescent="0.3">
      <c r="A809">
        <v>1024</v>
      </c>
      <c r="B809" s="2">
        <v>44991</v>
      </c>
      <c r="C809" s="1" t="s">
        <v>26</v>
      </c>
      <c r="D809" s="1" t="s">
        <v>27</v>
      </c>
      <c r="E809" s="1" t="s">
        <v>28</v>
      </c>
      <c r="F809" s="1" t="s">
        <v>15</v>
      </c>
      <c r="G809" s="1" t="s">
        <v>21</v>
      </c>
      <c r="H809" s="1" t="s">
        <v>29</v>
      </c>
      <c r="I809" s="4">
        <v>1258.53</v>
      </c>
      <c r="J809" s="4">
        <v>1624.89</v>
      </c>
      <c r="K809">
        <v>35</v>
      </c>
      <c r="L809" s="3">
        <v>0.08</v>
      </c>
      <c r="M809" s="4">
        <v>44048.55</v>
      </c>
      <c r="N809" s="4">
        <v>56868.35</v>
      </c>
      <c r="O809" s="4">
        <v>12819.8</v>
      </c>
      <c r="P809" s="3">
        <v>0.22542943482622599</v>
      </c>
    </row>
    <row r="810" spans="1:16" x14ac:dyDescent="0.3">
      <c r="A810">
        <v>1050</v>
      </c>
      <c r="B810" s="2">
        <v>44990</v>
      </c>
      <c r="C810" s="1" t="s">
        <v>23</v>
      </c>
      <c r="D810" s="1" t="s">
        <v>30</v>
      </c>
      <c r="E810" s="1" t="s">
        <v>28</v>
      </c>
      <c r="F810" s="1" t="s">
        <v>15</v>
      </c>
      <c r="G810" s="1" t="s">
        <v>25</v>
      </c>
      <c r="H810" s="1" t="s">
        <v>29</v>
      </c>
      <c r="I810" s="4">
        <v>3318.92</v>
      </c>
      <c r="J810" s="4">
        <v>3785.91</v>
      </c>
      <c r="K810">
        <v>20</v>
      </c>
      <c r="L810" s="3">
        <v>0.24</v>
      </c>
      <c r="M810" s="4">
        <v>66378.399999999994</v>
      </c>
      <c r="N810" s="4">
        <v>75713.399999999994</v>
      </c>
      <c r="O810" s="4">
        <v>9335</v>
      </c>
      <c r="P810" s="3">
        <v>0.123293895136132</v>
      </c>
    </row>
    <row r="811" spans="1:16" x14ac:dyDescent="0.3">
      <c r="A811">
        <v>1058</v>
      </c>
      <c r="B811" s="2">
        <v>44990</v>
      </c>
      <c r="C811" s="1" t="s">
        <v>12</v>
      </c>
      <c r="D811" s="1" t="s">
        <v>30</v>
      </c>
      <c r="E811" s="1" t="s">
        <v>24</v>
      </c>
      <c r="F811" s="1" t="s">
        <v>20</v>
      </c>
      <c r="G811" s="1" t="s">
        <v>16</v>
      </c>
      <c r="H811" s="1" t="s">
        <v>29</v>
      </c>
      <c r="I811" s="4">
        <v>2596.7199999999998</v>
      </c>
      <c r="J811" s="4">
        <v>2715.05</v>
      </c>
      <c r="K811">
        <v>48</v>
      </c>
      <c r="L811" s="3">
        <v>0.04</v>
      </c>
      <c r="M811" s="4">
        <v>124642.56</v>
      </c>
      <c r="N811" s="4">
        <v>130320.48</v>
      </c>
      <c r="O811" s="4">
        <v>5677.92</v>
      </c>
      <c r="P811" s="3">
        <v>4.3568900298709801E-2</v>
      </c>
    </row>
    <row r="812" spans="1:16" x14ac:dyDescent="0.3">
      <c r="A812">
        <v>1009</v>
      </c>
      <c r="B812" s="2">
        <v>44989</v>
      </c>
      <c r="C812" s="1" t="s">
        <v>18</v>
      </c>
      <c r="D812" s="1" t="s">
        <v>13</v>
      </c>
      <c r="E812" s="1" t="s">
        <v>14</v>
      </c>
      <c r="F812" s="1" t="s">
        <v>15</v>
      </c>
      <c r="G812" s="1" t="s">
        <v>25</v>
      </c>
      <c r="H812" s="1" t="s">
        <v>17</v>
      </c>
      <c r="I812" s="4">
        <v>3223.07</v>
      </c>
      <c r="J812" s="4">
        <v>3590.83</v>
      </c>
      <c r="K812">
        <v>1</v>
      </c>
      <c r="L812" s="3">
        <v>0.19</v>
      </c>
      <c r="M812" s="4">
        <v>3223.07</v>
      </c>
      <c r="N812" s="4">
        <v>3590.64</v>
      </c>
      <c r="O812" s="4">
        <v>367.57</v>
      </c>
      <c r="P812" s="3">
        <v>0.10236893701401401</v>
      </c>
    </row>
    <row r="813" spans="1:16" x14ac:dyDescent="0.3">
      <c r="A813">
        <v>1033</v>
      </c>
      <c r="B813" s="2">
        <v>44989</v>
      </c>
      <c r="C813" s="1" t="s">
        <v>23</v>
      </c>
      <c r="D813" s="1" t="s">
        <v>19</v>
      </c>
      <c r="E813" s="1" t="s">
        <v>14</v>
      </c>
      <c r="F813" s="1" t="s">
        <v>20</v>
      </c>
      <c r="G813" s="1" t="s">
        <v>16</v>
      </c>
      <c r="H813" s="1" t="s">
        <v>17</v>
      </c>
      <c r="I813" s="4">
        <v>362.38</v>
      </c>
      <c r="J813" s="4">
        <v>753.81</v>
      </c>
      <c r="K813">
        <v>14</v>
      </c>
      <c r="L813" s="3">
        <v>0.19</v>
      </c>
      <c r="M813" s="4">
        <v>5073.32</v>
      </c>
      <c r="N813" s="4">
        <v>10550.68</v>
      </c>
      <c r="O813" s="4">
        <v>5477.36</v>
      </c>
      <c r="P813" s="3">
        <v>0.51914758100899605</v>
      </c>
    </row>
    <row r="814" spans="1:16" x14ac:dyDescent="0.3">
      <c r="A814">
        <v>1070</v>
      </c>
      <c r="B814" s="2">
        <v>44989</v>
      </c>
      <c r="C814" s="1" t="s">
        <v>23</v>
      </c>
      <c r="D814" s="1" t="s">
        <v>27</v>
      </c>
      <c r="E814" s="1" t="s">
        <v>28</v>
      </c>
      <c r="F814" s="1" t="s">
        <v>15</v>
      </c>
      <c r="G814" s="1" t="s">
        <v>21</v>
      </c>
      <c r="H814" s="1" t="s">
        <v>17</v>
      </c>
      <c r="I814" s="4">
        <v>3653.66</v>
      </c>
      <c r="J814" s="4">
        <v>3896.19</v>
      </c>
      <c r="K814">
        <v>15</v>
      </c>
      <c r="L814" s="3">
        <v>0.03</v>
      </c>
      <c r="M814" s="4">
        <v>54804.9</v>
      </c>
      <c r="N814" s="4">
        <v>58442.400000000001</v>
      </c>
      <c r="O814" s="4">
        <v>3637.5</v>
      </c>
      <c r="P814" s="3">
        <v>6.2240770399572903E-2</v>
      </c>
    </row>
    <row r="815" spans="1:16" x14ac:dyDescent="0.3">
      <c r="A815">
        <v>1094</v>
      </c>
      <c r="B815" s="2">
        <v>44989</v>
      </c>
      <c r="C815" s="1" t="s">
        <v>23</v>
      </c>
      <c r="D815" s="1" t="s">
        <v>30</v>
      </c>
      <c r="E815" s="1" t="s">
        <v>22</v>
      </c>
      <c r="F815" s="1" t="s">
        <v>20</v>
      </c>
      <c r="G815" s="1" t="s">
        <v>21</v>
      </c>
      <c r="H815" s="1" t="s">
        <v>17</v>
      </c>
      <c r="I815" s="4">
        <v>615.47</v>
      </c>
      <c r="J815" s="4">
        <v>715.84</v>
      </c>
      <c r="K815">
        <v>49</v>
      </c>
      <c r="L815" s="3">
        <v>0.21</v>
      </c>
      <c r="M815" s="4">
        <v>30158.03</v>
      </c>
      <c r="N815" s="4">
        <v>35065.870000000003</v>
      </c>
      <c r="O815" s="4">
        <v>4907.84</v>
      </c>
      <c r="P815" s="3">
        <v>0.13996059416178799</v>
      </c>
    </row>
    <row r="816" spans="1:16" x14ac:dyDescent="0.3">
      <c r="A816">
        <v>1099</v>
      </c>
      <c r="B816" s="2">
        <v>44989</v>
      </c>
      <c r="C816" s="1" t="s">
        <v>18</v>
      </c>
      <c r="D816" s="1" t="s">
        <v>13</v>
      </c>
      <c r="E816" s="1" t="s">
        <v>24</v>
      </c>
      <c r="F816" s="1" t="s">
        <v>15</v>
      </c>
      <c r="G816" s="1" t="s">
        <v>21</v>
      </c>
      <c r="H816" s="1" t="s">
        <v>29</v>
      </c>
      <c r="I816" s="4">
        <v>1531.2</v>
      </c>
      <c r="J816" s="4">
        <v>1955.56</v>
      </c>
      <c r="K816">
        <v>10</v>
      </c>
      <c r="L816" s="3">
        <v>0</v>
      </c>
      <c r="M816" s="4">
        <v>15312</v>
      </c>
      <c r="N816" s="4">
        <v>19555.599999999999</v>
      </c>
      <c r="O816" s="4">
        <v>4243.6000000000004</v>
      </c>
      <c r="P816" s="3">
        <v>0.21700177954141001</v>
      </c>
    </row>
    <row r="817" spans="1:16" x14ac:dyDescent="0.3">
      <c r="A817">
        <v>1007</v>
      </c>
      <c r="B817" s="2">
        <v>44988</v>
      </c>
      <c r="C817" s="1" t="s">
        <v>12</v>
      </c>
      <c r="D817" s="1" t="s">
        <v>19</v>
      </c>
      <c r="E817" s="1" t="s">
        <v>22</v>
      </c>
      <c r="F817" s="1" t="s">
        <v>20</v>
      </c>
      <c r="G817" s="1" t="s">
        <v>21</v>
      </c>
      <c r="H817" s="1" t="s">
        <v>29</v>
      </c>
      <c r="I817" s="4">
        <v>2543.2600000000002</v>
      </c>
      <c r="J817" s="4">
        <v>2637.91</v>
      </c>
      <c r="K817">
        <v>1</v>
      </c>
      <c r="L817" s="3">
        <v>0.2</v>
      </c>
      <c r="M817" s="4">
        <v>2543.2600000000002</v>
      </c>
      <c r="N817" s="4">
        <v>2637.71</v>
      </c>
      <c r="O817" s="4">
        <v>94.45</v>
      </c>
      <c r="P817" s="3">
        <v>3.58075755105755E-2</v>
      </c>
    </row>
    <row r="818" spans="1:16" x14ac:dyDescent="0.3">
      <c r="A818">
        <v>1035</v>
      </c>
      <c r="B818" s="2">
        <v>44988</v>
      </c>
      <c r="C818" s="1" t="s">
        <v>23</v>
      </c>
      <c r="D818" s="1" t="s">
        <v>19</v>
      </c>
      <c r="E818" s="1" t="s">
        <v>28</v>
      </c>
      <c r="F818" s="1" t="s">
        <v>15</v>
      </c>
      <c r="G818" s="1" t="s">
        <v>25</v>
      </c>
      <c r="H818" s="1" t="s">
        <v>29</v>
      </c>
      <c r="I818" s="4">
        <v>2936.48</v>
      </c>
      <c r="J818" s="4">
        <v>3096.64</v>
      </c>
      <c r="K818">
        <v>47</v>
      </c>
      <c r="L818" s="3">
        <v>0.06</v>
      </c>
      <c r="M818" s="4">
        <v>138014.56</v>
      </c>
      <c r="N818" s="4">
        <v>145539.26</v>
      </c>
      <c r="O818" s="4">
        <v>7524.7</v>
      </c>
      <c r="P818" s="3">
        <v>5.1702200492155903E-2</v>
      </c>
    </row>
    <row r="819" spans="1:16" x14ac:dyDescent="0.3">
      <c r="A819">
        <v>1089</v>
      </c>
      <c r="B819" s="2">
        <v>44988</v>
      </c>
      <c r="C819" s="1" t="s">
        <v>31</v>
      </c>
      <c r="D819" s="1" t="s">
        <v>30</v>
      </c>
      <c r="E819" s="1" t="s">
        <v>24</v>
      </c>
      <c r="F819" s="1" t="s">
        <v>20</v>
      </c>
      <c r="G819" s="1" t="s">
        <v>25</v>
      </c>
      <c r="H819" s="1" t="s">
        <v>29</v>
      </c>
      <c r="I819" s="4">
        <v>4117.67</v>
      </c>
      <c r="J819" s="4">
        <v>4280.0600000000004</v>
      </c>
      <c r="K819">
        <v>4</v>
      </c>
      <c r="L819" s="3">
        <v>0.18</v>
      </c>
      <c r="M819" s="4">
        <v>16470.68</v>
      </c>
      <c r="N819" s="4">
        <v>17119.52</v>
      </c>
      <c r="O819" s="4">
        <v>648.84</v>
      </c>
      <c r="P819" s="3">
        <v>3.7900595343794703E-2</v>
      </c>
    </row>
    <row r="820" spans="1:16" x14ac:dyDescent="0.3">
      <c r="A820">
        <v>1095</v>
      </c>
      <c r="B820" s="2">
        <v>44988</v>
      </c>
      <c r="C820" s="1" t="s">
        <v>12</v>
      </c>
      <c r="D820" s="1" t="s">
        <v>13</v>
      </c>
      <c r="E820" s="1" t="s">
        <v>28</v>
      </c>
      <c r="F820" s="1" t="s">
        <v>20</v>
      </c>
      <c r="G820" s="1" t="s">
        <v>21</v>
      </c>
      <c r="H820" s="1" t="s">
        <v>17</v>
      </c>
      <c r="I820" s="4">
        <v>3591.05</v>
      </c>
      <c r="J820" s="4">
        <v>3625.35</v>
      </c>
      <c r="K820">
        <v>16</v>
      </c>
      <c r="L820" s="3">
        <v>0.05</v>
      </c>
      <c r="M820" s="4">
        <v>57456.800000000003</v>
      </c>
      <c r="N820" s="4">
        <v>58004.800000000003</v>
      </c>
      <c r="O820" s="4">
        <v>548</v>
      </c>
      <c r="P820" s="3">
        <v>9.4474940004965098E-3</v>
      </c>
    </row>
    <row r="821" spans="1:16" x14ac:dyDescent="0.3">
      <c r="A821">
        <v>1023</v>
      </c>
      <c r="B821" s="2">
        <v>44987</v>
      </c>
      <c r="C821" s="1" t="s">
        <v>18</v>
      </c>
      <c r="D821" s="1" t="s">
        <v>19</v>
      </c>
      <c r="E821" s="1" t="s">
        <v>22</v>
      </c>
      <c r="F821" s="1" t="s">
        <v>15</v>
      </c>
      <c r="G821" s="1" t="s">
        <v>16</v>
      </c>
      <c r="H821" s="1" t="s">
        <v>17</v>
      </c>
      <c r="I821" s="4">
        <v>4450.6099999999997</v>
      </c>
      <c r="J821" s="4">
        <v>4663.34</v>
      </c>
      <c r="K821">
        <v>39</v>
      </c>
      <c r="L821" s="3">
        <v>0.24</v>
      </c>
      <c r="M821" s="4">
        <v>173573.79</v>
      </c>
      <c r="N821" s="4">
        <v>181860.9</v>
      </c>
      <c r="O821" s="4">
        <v>8287.11</v>
      </c>
      <c r="P821" s="3">
        <v>4.5568398704724303E-2</v>
      </c>
    </row>
    <row r="822" spans="1:16" x14ac:dyDescent="0.3">
      <c r="A822">
        <v>1058</v>
      </c>
      <c r="B822" s="2">
        <v>44987</v>
      </c>
      <c r="C822" s="1" t="s">
        <v>12</v>
      </c>
      <c r="D822" s="1" t="s">
        <v>13</v>
      </c>
      <c r="E822" s="1" t="s">
        <v>24</v>
      </c>
      <c r="F822" s="1" t="s">
        <v>20</v>
      </c>
      <c r="G822" s="1" t="s">
        <v>16</v>
      </c>
      <c r="H822" s="1" t="s">
        <v>17</v>
      </c>
      <c r="I822" s="4">
        <v>1307.22</v>
      </c>
      <c r="J822" s="4">
        <v>1528.4</v>
      </c>
      <c r="K822">
        <v>49</v>
      </c>
      <c r="L822" s="3">
        <v>0.24</v>
      </c>
      <c r="M822" s="4">
        <v>64053.78</v>
      </c>
      <c r="N822" s="4">
        <v>74879.839999999997</v>
      </c>
      <c r="O822" s="4">
        <v>10826.06</v>
      </c>
      <c r="P822" s="3">
        <v>0.144579101664747</v>
      </c>
    </row>
    <row r="823" spans="1:16" x14ac:dyDescent="0.3">
      <c r="A823">
        <v>1058</v>
      </c>
      <c r="B823" s="2">
        <v>44987</v>
      </c>
      <c r="C823" s="1" t="s">
        <v>12</v>
      </c>
      <c r="D823" s="1" t="s">
        <v>19</v>
      </c>
      <c r="E823" s="1" t="s">
        <v>22</v>
      </c>
      <c r="F823" s="1" t="s">
        <v>20</v>
      </c>
      <c r="G823" s="1" t="s">
        <v>16</v>
      </c>
      <c r="H823" s="1" t="s">
        <v>29</v>
      </c>
      <c r="I823" s="4">
        <v>3542.8</v>
      </c>
      <c r="J823" s="4">
        <v>3603.02</v>
      </c>
      <c r="K823">
        <v>39</v>
      </c>
      <c r="L823" s="3">
        <v>0.26</v>
      </c>
      <c r="M823" s="4">
        <v>138169.20000000001</v>
      </c>
      <c r="N823" s="4">
        <v>140507.64000000001</v>
      </c>
      <c r="O823" s="4">
        <v>2338.44</v>
      </c>
      <c r="P823" s="3">
        <v>1.6642796078561999E-2</v>
      </c>
    </row>
    <row r="824" spans="1:16" x14ac:dyDescent="0.3">
      <c r="A824">
        <v>1029</v>
      </c>
      <c r="B824" s="2">
        <v>44986</v>
      </c>
      <c r="C824" s="1" t="s">
        <v>18</v>
      </c>
      <c r="D824" s="1" t="s">
        <v>13</v>
      </c>
      <c r="E824" s="1" t="s">
        <v>14</v>
      </c>
      <c r="F824" s="1" t="s">
        <v>15</v>
      </c>
      <c r="G824" s="1" t="s">
        <v>21</v>
      </c>
      <c r="H824" s="1" t="s">
        <v>17</v>
      </c>
      <c r="I824" s="4">
        <v>2873.53</v>
      </c>
      <c r="J824" s="4">
        <v>3108.3</v>
      </c>
      <c r="K824">
        <v>28</v>
      </c>
      <c r="L824" s="3">
        <v>0.15</v>
      </c>
      <c r="M824" s="4">
        <v>80458.84</v>
      </c>
      <c r="N824" s="4">
        <v>87028.2</v>
      </c>
      <c r="O824" s="4">
        <v>6569.36</v>
      </c>
      <c r="P824" s="3">
        <v>7.5485417370461494E-2</v>
      </c>
    </row>
    <row r="825" spans="1:16" x14ac:dyDescent="0.3">
      <c r="A825">
        <v>1034</v>
      </c>
      <c r="B825" s="2">
        <v>44986</v>
      </c>
      <c r="C825" s="1" t="s">
        <v>31</v>
      </c>
      <c r="D825" s="1" t="s">
        <v>19</v>
      </c>
      <c r="E825" s="1" t="s">
        <v>22</v>
      </c>
      <c r="F825" s="1" t="s">
        <v>15</v>
      </c>
      <c r="G825" s="1" t="s">
        <v>25</v>
      </c>
      <c r="H825" s="1" t="s">
        <v>17</v>
      </c>
      <c r="I825" s="4">
        <v>2013.12</v>
      </c>
      <c r="J825" s="4">
        <v>2321.87</v>
      </c>
      <c r="K825">
        <v>45</v>
      </c>
      <c r="L825" s="3">
        <v>0.18</v>
      </c>
      <c r="M825" s="4">
        <v>90590.399999999994</v>
      </c>
      <c r="N825" s="4">
        <v>104476.05</v>
      </c>
      <c r="O825" s="4">
        <v>13885.65</v>
      </c>
      <c r="P825" s="3">
        <v>0.132907494109894</v>
      </c>
    </row>
    <row r="826" spans="1:16" x14ac:dyDescent="0.3">
      <c r="A826">
        <v>1041</v>
      </c>
      <c r="B826" s="2">
        <v>44986</v>
      </c>
      <c r="C826" s="1" t="s">
        <v>31</v>
      </c>
      <c r="D826" s="1" t="s">
        <v>13</v>
      </c>
      <c r="E826" s="1" t="s">
        <v>28</v>
      </c>
      <c r="F826" s="1" t="s">
        <v>15</v>
      </c>
      <c r="G826" s="1" t="s">
        <v>21</v>
      </c>
      <c r="H826" s="1" t="s">
        <v>17</v>
      </c>
      <c r="I826" s="4">
        <v>3288.39</v>
      </c>
      <c r="J826" s="4">
        <v>3391.46</v>
      </c>
      <c r="K826">
        <v>44</v>
      </c>
      <c r="L826" s="3">
        <v>0.05</v>
      </c>
      <c r="M826" s="4">
        <v>144689.16</v>
      </c>
      <c r="N826" s="4">
        <v>149222.04</v>
      </c>
      <c r="O826" s="4">
        <v>4532.88</v>
      </c>
      <c r="P826" s="3">
        <v>3.03767459552222E-2</v>
      </c>
    </row>
    <row r="827" spans="1:16" x14ac:dyDescent="0.3">
      <c r="A827">
        <v>1007</v>
      </c>
      <c r="B827" s="2">
        <v>44985</v>
      </c>
      <c r="C827" s="1" t="s">
        <v>31</v>
      </c>
      <c r="D827" s="1" t="s">
        <v>13</v>
      </c>
      <c r="E827" s="1" t="s">
        <v>24</v>
      </c>
      <c r="F827" s="1" t="s">
        <v>15</v>
      </c>
      <c r="G827" s="1" t="s">
        <v>21</v>
      </c>
      <c r="H827" s="1" t="s">
        <v>29</v>
      </c>
      <c r="I827" s="4">
        <v>3967.25</v>
      </c>
      <c r="J827" s="4">
        <v>4272.92</v>
      </c>
      <c r="K827">
        <v>43</v>
      </c>
      <c r="L827" s="3">
        <v>0.27</v>
      </c>
      <c r="M827" s="4">
        <v>170591.75</v>
      </c>
      <c r="N827" s="4">
        <v>183723.95</v>
      </c>
      <c r="O827" s="4">
        <v>13132.2</v>
      </c>
      <c r="P827" s="3">
        <v>7.1477888429897093E-2</v>
      </c>
    </row>
    <row r="828" spans="1:16" x14ac:dyDescent="0.3">
      <c r="A828">
        <v>1012</v>
      </c>
      <c r="B828" s="2">
        <v>44985</v>
      </c>
      <c r="C828" s="1" t="s">
        <v>18</v>
      </c>
      <c r="D828" s="1" t="s">
        <v>13</v>
      </c>
      <c r="E828" s="1" t="s">
        <v>22</v>
      </c>
      <c r="F828" s="1" t="s">
        <v>15</v>
      </c>
      <c r="G828" s="1" t="s">
        <v>16</v>
      </c>
      <c r="H828" s="1" t="s">
        <v>17</v>
      </c>
      <c r="I828" s="4">
        <v>3831.09</v>
      </c>
      <c r="J828" s="4">
        <v>3908.37</v>
      </c>
      <c r="K828">
        <v>33</v>
      </c>
      <c r="L828" s="3">
        <v>0.28999999999999998</v>
      </c>
      <c r="M828" s="4">
        <v>126425.97</v>
      </c>
      <c r="N828" s="4">
        <v>128966.64</v>
      </c>
      <c r="O828" s="4">
        <v>2540.67</v>
      </c>
      <c r="P828" s="3">
        <v>1.97002108452232E-2</v>
      </c>
    </row>
    <row r="829" spans="1:16" x14ac:dyDescent="0.3">
      <c r="A829">
        <v>1025</v>
      </c>
      <c r="B829" s="2">
        <v>44985</v>
      </c>
      <c r="C829" s="1" t="s">
        <v>23</v>
      </c>
      <c r="D829" s="1" t="s">
        <v>13</v>
      </c>
      <c r="E829" s="1" t="s">
        <v>28</v>
      </c>
      <c r="F829" s="1" t="s">
        <v>15</v>
      </c>
      <c r="G829" s="1" t="s">
        <v>25</v>
      </c>
      <c r="H829" s="1" t="s">
        <v>29</v>
      </c>
      <c r="I829" s="4">
        <v>859.59</v>
      </c>
      <c r="J829" s="4">
        <v>884.51</v>
      </c>
      <c r="K829">
        <v>14</v>
      </c>
      <c r="L829" s="3">
        <v>0.12</v>
      </c>
      <c r="M829" s="4">
        <v>12034.26</v>
      </c>
      <c r="N829" s="4">
        <v>12381.46</v>
      </c>
      <c r="O829" s="4">
        <v>347.2</v>
      </c>
      <c r="P829" s="3">
        <v>2.8041927204061599E-2</v>
      </c>
    </row>
    <row r="830" spans="1:16" x14ac:dyDescent="0.3">
      <c r="A830">
        <v>1033</v>
      </c>
      <c r="B830" s="2">
        <v>44985</v>
      </c>
      <c r="C830" s="1" t="s">
        <v>18</v>
      </c>
      <c r="D830" s="1" t="s">
        <v>19</v>
      </c>
      <c r="E830" s="1" t="s">
        <v>14</v>
      </c>
      <c r="F830" s="1" t="s">
        <v>20</v>
      </c>
      <c r="G830" s="1" t="s">
        <v>16</v>
      </c>
      <c r="H830" s="1" t="s">
        <v>29</v>
      </c>
      <c r="I830" s="4">
        <v>2958.75</v>
      </c>
      <c r="J830" s="4">
        <v>3177.64</v>
      </c>
      <c r="K830">
        <v>3</v>
      </c>
      <c r="L830" s="3">
        <v>0.17</v>
      </c>
      <c r="M830" s="4">
        <v>8876.25</v>
      </c>
      <c r="N830" s="4">
        <v>9532.41</v>
      </c>
      <c r="O830" s="4">
        <v>656.16</v>
      </c>
      <c r="P830" s="3">
        <v>6.8834638879360005E-2</v>
      </c>
    </row>
    <row r="831" spans="1:16" x14ac:dyDescent="0.3">
      <c r="A831">
        <v>1056</v>
      </c>
      <c r="B831" s="2">
        <v>44985</v>
      </c>
      <c r="C831" s="1" t="s">
        <v>12</v>
      </c>
      <c r="D831" s="1" t="s">
        <v>30</v>
      </c>
      <c r="E831" s="1" t="s">
        <v>28</v>
      </c>
      <c r="F831" s="1" t="s">
        <v>20</v>
      </c>
      <c r="G831" s="1" t="s">
        <v>21</v>
      </c>
      <c r="H831" s="1" t="s">
        <v>29</v>
      </c>
      <c r="I831" s="4">
        <v>1555.41</v>
      </c>
      <c r="J831" s="4">
        <v>1609.94</v>
      </c>
      <c r="K831">
        <v>37</v>
      </c>
      <c r="L831" s="3">
        <v>0.16</v>
      </c>
      <c r="M831" s="4">
        <v>57550.17</v>
      </c>
      <c r="N831" s="4">
        <v>59561.86</v>
      </c>
      <c r="O831" s="4">
        <v>2011.69</v>
      </c>
      <c r="P831" s="3">
        <v>3.3774801525674303E-2</v>
      </c>
    </row>
    <row r="832" spans="1:16" x14ac:dyDescent="0.3">
      <c r="A832">
        <v>1087</v>
      </c>
      <c r="B832" s="2">
        <v>44985</v>
      </c>
      <c r="C832" s="1" t="s">
        <v>26</v>
      </c>
      <c r="D832" s="1" t="s">
        <v>19</v>
      </c>
      <c r="E832" s="1" t="s">
        <v>24</v>
      </c>
      <c r="F832" s="1" t="s">
        <v>20</v>
      </c>
      <c r="G832" s="1" t="s">
        <v>21</v>
      </c>
      <c r="H832" s="1" t="s">
        <v>17</v>
      </c>
      <c r="I832" s="4">
        <v>4074.66</v>
      </c>
      <c r="J832" s="4">
        <v>4261.1099999999997</v>
      </c>
      <c r="K832">
        <v>15</v>
      </c>
      <c r="L832" s="3">
        <v>0.05</v>
      </c>
      <c r="M832" s="4">
        <v>61119.9</v>
      </c>
      <c r="N832" s="4">
        <v>63915.9</v>
      </c>
      <c r="O832" s="4">
        <v>2796</v>
      </c>
      <c r="P832" s="3">
        <v>4.3744983642567799E-2</v>
      </c>
    </row>
    <row r="833" spans="1:16" x14ac:dyDescent="0.3">
      <c r="A833">
        <v>1083</v>
      </c>
      <c r="B833" s="2">
        <v>44984</v>
      </c>
      <c r="C833" s="1" t="s">
        <v>26</v>
      </c>
      <c r="D833" s="1" t="s">
        <v>19</v>
      </c>
      <c r="E833" s="1" t="s">
        <v>14</v>
      </c>
      <c r="F833" s="1" t="s">
        <v>15</v>
      </c>
      <c r="G833" s="1" t="s">
        <v>21</v>
      </c>
      <c r="H833" s="1" t="s">
        <v>17</v>
      </c>
      <c r="I833" s="4">
        <v>3617.59</v>
      </c>
      <c r="J833" s="4">
        <v>4003.5</v>
      </c>
      <c r="K833">
        <v>20</v>
      </c>
      <c r="L833" s="3">
        <v>0.01</v>
      </c>
      <c r="M833" s="4">
        <v>72351.8</v>
      </c>
      <c r="N833" s="4">
        <v>80069.8</v>
      </c>
      <c r="O833" s="4">
        <v>7718</v>
      </c>
      <c r="P833" s="3">
        <v>9.6390898940674305E-2</v>
      </c>
    </row>
    <row r="834" spans="1:16" x14ac:dyDescent="0.3">
      <c r="A834">
        <v>1085</v>
      </c>
      <c r="B834" s="2">
        <v>44984</v>
      </c>
      <c r="C834" s="1" t="s">
        <v>12</v>
      </c>
      <c r="D834" s="1" t="s">
        <v>19</v>
      </c>
      <c r="E834" s="1" t="s">
        <v>24</v>
      </c>
      <c r="F834" s="1" t="s">
        <v>20</v>
      </c>
      <c r="G834" s="1" t="s">
        <v>21</v>
      </c>
      <c r="H834" s="1" t="s">
        <v>29</v>
      </c>
      <c r="I834" s="4">
        <v>3325.96</v>
      </c>
      <c r="J834" s="4">
        <v>3781.4</v>
      </c>
      <c r="K834">
        <v>45</v>
      </c>
      <c r="L834" s="3">
        <v>0.27</v>
      </c>
      <c r="M834" s="4">
        <v>149668.20000000001</v>
      </c>
      <c r="N834" s="4">
        <v>170150.85</v>
      </c>
      <c r="O834" s="4">
        <v>20482.650000000001</v>
      </c>
      <c r="P834" s="3">
        <v>0.12037935749365899</v>
      </c>
    </row>
    <row r="835" spans="1:16" x14ac:dyDescent="0.3">
      <c r="A835">
        <v>1086</v>
      </c>
      <c r="B835" s="2">
        <v>44983</v>
      </c>
      <c r="C835" s="1" t="s">
        <v>23</v>
      </c>
      <c r="D835" s="1" t="s">
        <v>19</v>
      </c>
      <c r="E835" s="1" t="s">
        <v>28</v>
      </c>
      <c r="F835" s="1" t="s">
        <v>15</v>
      </c>
      <c r="G835" s="1" t="s">
        <v>25</v>
      </c>
      <c r="H835" s="1" t="s">
        <v>29</v>
      </c>
      <c r="I835" s="4">
        <v>4934.1000000000004</v>
      </c>
      <c r="J835" s="4">
        <v>5191.0200000000004</v>
      </c>
      <c r="K835">
        <v>5</v>
      </c>
      <c r="L835" s="3">
        <v>0.3</v>
      </c>
      <c r="M835" s="4">
        <v>24670.5</v>
      </c>
      <c r="N835" s="4">
        <v>25953.599999999999</v>
      </c>
      <c r="O835" s="4">
        <v>1283.0999999999999</v>
      </c>
      <c r="P835" s="3">
        <v>4.9438228222674303E-2</v>
      </c>
    </row>
    <row r="836" spans="1:16" x14ac:dyDescent="0.3">
      <c r="A836">
        <v>1013</v>
      </c>
      <c r="B836" s="2">
        <v>44982</v>
      </c>
      <c r="C836" s="1" t="s">
        <v>12</v>
      </c>
      <c r="D836" s="1" t="s">
        <v>13</v>
      </c>
      <c r="E836" s="1" t="s">
        <v>22</v>
      </c>
      <c r="F836" s="1" t="s">
        <v>20</v>
      </c>
      <c r="G836" s="1" t="s">
        <v>16</v>
      </c>
      <c r="H836" s="1" t="s">
        <v>29</v>
      </c>
      <c r="I836" s="4">
        <v>2757.06</v>
      </c>
      <c r="J836" s="4">
        <v>3023.97</v>
      </c>
      <c r="K836">
        <v>31</v>
      </c>
      <c r="L836" s="3">
        <v>0.21</v>
      </c>
      <c r="M836" s="4">
        <v>85468.86</v>
      </c>
      <c r="N836" s="4">
        <v>93736.56</v>
      </c>
      <c r="O836" s="4">
        <v>8267.7000000000007</v>
      </c>
      <c r="P836" s="3">
        <v>8.8201444559091999E-2</v>
      </c>
    </row>
    <row r="837" spans="1:16" x14ac:dyDescent="0.3">
      <c r="A837">
        <v>1008</v>
      </c>
      <c r="B837" s="2">
        <v>44981</v>
      </c>
      <c r="C837" s="1" t="s">
        <v>12</v>
      </c>
      <c r="D837" s="1" t="s">
        <v>19</v>
      </c>
      <c r="E837" s="1" t="s">
        <v>28</v>
      </c>
      <c r="F837" s="1" t="s">
        <v>15</v>
      </c>
      <c r="G837" s="1" t="s">
        <v>16</v>
      </c>
      <c r="H837" s="1" t="s">
        <v>17</v>
      </c>
      <c r="I837" s="4">
        <v>2269.3200000000002</v>
      </c>
      <c r="J837" s="4">
        <v>2365.35</v>
      </c>
      <c r="K837">
        <v>22</v>
      </c>
      <c r="L837" s="3">
        <v>0.03</v>
      </c>
      <c r="M837" s="4">
        <v>49925.04</v>
      </c>
      <c r="N837" s="4">
        <v>52037.04</v>
      </c>
      <c r="O837" s="4">
        <v>2112</v>
      </c>
      <c r="P837" s="3">
        <v>4.0586474557353799E-2</v>
      </c>
    </row>
    <row r="838" spans="1:16" x14ac:dyDescent="0.3">
      <c r="A838">
        <v>1054</v>
      </c>
      <c r="B838" s="2">
        <v>44981</v>
      </c>
      <c r="C838" s="1" t="s">
        <v>26</v>
      </c>
      <c r="D838" s="1" t="s">
        <v>30</v>
      </c>
      <c r="E838" s="1" t="s">
        <v>22</v>
      </c>
      <c r="F838" s="1" t="s">
        <v>20</v>
      </c>
      <c r="G838" s="1" t="s">
        <v>21</v>
      </c>
      <c r="H838" s="1" t="s">
        <v>17</v>
      </c>
      <c r="I838" s="4">
        <v>2124.7199999999998</v>
      </c>
      <c r="J838" s="4">
        <v>2188.66</v>
      </c>
      <c r="K838">
        <v>43</v>
      </c>
      <c r="L838" s="3">
        <v>0.03</v>
      </c>
      <c r="M838" s="4">
        <v>91362.96</v>
      </c>
      <c r="N838" s="4">
        <v>94111.09</v>
      </c>
      <c r="O838" s="4">
        <v>2748.13</v>
      </c>
      <c r="P838" s="3">
        <v>2.9200915641291601E-2</v>
      </c>
    </row>
    <row r="839" spans="1:16" x14ac:dyDescent="0.3">
      <c r="A839">
        <v>1068</v>
      </c>
      <c r="B839" s="2">
        <v>44981</v>
      </c>
      <c r="C839" s="1" t="s">
        <v>23</v>
      </c>
      <c r="D839" s="1" t="s">
        <v>30</v>
      </c>
      <c r="E839" s="1" t="s">
        <v>14</v>
      </c>
      <c r="F839" s="1" t="s">
        <v>20</v>
      </c>
      <c r="G839" s="1" t="s">
        <v>25</v>
      </c>
      <c r="H839" s="1" t="s">
        <v>29</v>
      </c>
      <c r="I839" s="4">
        <v>3619.61</v>
      </c>
      <c r="J839" s="4">
        <v>3651.42</v>
      </c>
      <c r="K839">
        <v>22</v>
      </c>
      <c r="L839" s="3">
        <v>0.26</v>
      </c>
      <c r="M839" s="4">
        <v>79631.42</v>
      </c>
      <c r="N839" s="4">
        <v>80325.52</v>
      </c>
      <c r="O839" s="4">
        <v>694.1</v>
      </c>
      <c r="P839" s="3">
        <v>8.6410894072020909E-3</v>
      </c>
    </row>
    <row r="840" spans="1:16" x14ac:dyDescent="0.3">
      <c r="A840">
        <v>1094</v>
      </c>
      <c r="B840" s="2">
        <v>44981</v>
      </c>
      <c r="C840" s="1" t="s">
        <v>23</v>
      </c>
      <c r="D840" s="1" t="s">
        <v>19</v>
      </c>
      <c r="E840" s="1" t="s">
        <v>24</v>
      </c>
      <c r="F840" s="1" t="s">
        <v>20</v>
      </c>
      <c r="G840" s="1" t="s">
        <v>25</v>
      </c>
      <c r="H840" s="1" t="s">
        <v>17</v>
      </c>
      <c r="I840" s="4">
        <v>4122.38</v>
      </c>
      <c r="J840" s="4">
        <v>4358.78</v>
      </c>
      <c r="K840">
        <v>7</v>
      </c>
      <c r="L840" s="3">
        <v>0.26</v>
      </c>
      <c r="M840" s="4">
        <v>28856.66</v>
      </c>
      <c r="N840" s="4">
        <v>30509.64</v>
      </c>
      <c r="O840" s="4">
        <v>1652.98</v>
      </c>
      <c r="P840" s="3">
        <v>5.4178941475546798E-2</v>
      </c>
    </row>
    <row r="841" spans="1:16" x14ac:dyDescent="0.3">
      <c r="A841">
        <v>1099</v>
      </c>
      <c r="B841" s="2">
        <v>44981</v>
      </c>
      <c r="C841" s="1" t="s">
        <v>18</v>
      </c>
      <c r="D841" s="1" t="s">
        <v>13</v>
      </c>
      <c r="E841" s="1" t="s">
        <v>14</v>
      </c>
      <c r="F841" s="1" t="s">
        <v>15</v>
      </c>
      <c r="G841" s="1" t="s">
        <v>16</v>
      </c>
      <c r="H841" s="1" t="s">
        <v>17</v>
      </c>
      <c r="I841" s="4">
        <v>2610.19</v>
      </c>
      <c r="J841" s="4">
        <v>2682.53</v>
      </c>
      <c r="K841">
        <v>35</v>
      </c>
      <c r="L841" s="3">
        <v>0.14000000000000001</v>
      </c>
      <c r="M841" s="4">
        <v>91356.65</v>
      </c>
      <c r="N841" s="4">
        <v>93883.65</v>
      </c>
      <c r="O841" s="4">
        <v>2527</v>
      </c>
      <c r="P841" s="3">
        <v>2.69162947968043E-2</v>
      </c>
    </row>
    <row r="842" spans="1:16" x14ac:dyDescent="0.3">
      <c r="A842">
        <v>1048</v>
      </c>
      <c r="B842" s="2">
        <v>44980</v>
      </c>
      <c r="C842" s="1" t="s">
        <v>23</v>
      </c>
      <c r="D842" s="1" t="s">
        <v>19</v>
      </c>
      <c r="E842" s="1" t="s">
        <v>22</v>
      </c>
      <c r="F842" s="1" t="s">
        <v>15</v>
      </c>
      <c r="G842" s="1" t="s">
        <v>21</v>
      </c>
      <c r="H842" s="1" t="s">
        <v>17</v>
      </c>
      <c r="I842" s="4">
        <v>4535.8599999999997</v>
      </c>
      <c r="J842" s="4">
        <v>4641.41</v>
      </c>
      <c r="K842">
        <v>47</v>
      </c>
      <c r="L842" s="3">
        <v>0.27</v>
      </c>
      <c r="M842" s="4">
        <v>213185.42</v>
      </c>
      <c r="N842" s="4">
        <v>218133.58</v>
      </c>
      <c r="O842" s="4">
        <v>4948.16</v>
      </c>
      <c r="P842" s="3">
        <v>2.2684081928146999E-2</v>
      </c>
    </row>
    <row r="843" spans="1:16" x14ac:dyDescent="0.3">
      <c r="A843">
        <v>1100</v>
      </c>
      <c r="B843" s="2">
        <v>44980</v>
      </c>
      <c r="C843" s="1" t="s">
        <v>12</v>
      </c>
      <c r="D843" s="1" t="s">
        <v>30</v>
      </c>
      <c r="E843" s="1" t="s">
        <v>24</v>
      </c>
      <c r="F843" s="1" t="s">
        <v>15</v>
      </c>
      <c r="G843" s="1" t="s">
        <v>21</v>
      </c>
      <c r="H843" s="1" t="s">
        <v>17</v>
      </c>
      <c r="I843" s="4">
        <v>2116.09</v>
      </c>
      <c r="J843" s="4">
        <v>2472.98</v>
      </c>
      <c r="K843">
        <v>43</v>
      </c>
      <c r="L843" s="3">
        <v>0.01</v>
      </c>
      <c r="M843" s="4">
        <v>90991.87</v>
      </c>
      <c r="N843" s="4">
        <v>106337.71</v>
      </c>
      <c r="O843" s="4">
        <v>15345.84</v>
      </c>
      <c r="P843" s="3">
        <v>0.144312304637743</v>
      </c>
    </row>
    <row r="844" spans="1:16" x14ac:dyDescent="0.3">
      <c r="A844">
        <v>1046</v>
      </c>
      <c r="B844" s="2">
        <v>44979</v>
      </c>
      <c r="C844" s="1" t="s">
        <v>26</v>
      </c>
      <c r="D844" s="1" t="s">
        <v>27</v>
      </c>
      <c r="E844" s="1" t="s">
        <v>14</v>
      </c>
      <c r="F844" s="1" t="s">
        <v>15</v>
      </c>
      <c r="G844" s="1" t="s">
        <v>25</v>
      </c>
      <c r="H844" s="1" t="s">
        <v>17</v>
      </c>
      <c r="I844" s="4">
        <v>2551.56</v>
      </c>
      <c r="J844" s="4">
        <v>2841.68</v>
      </c>
      <c r="K844">
        <v>46</v>
      </c>
      <c r="L844" s="3">
        <v>0.09</v>
      </c>
      <c r="M844" s="4">
        <v>117371.76</v>
      </c>
      <c r="N844" s="4">
        <v>130713.14</v>
      </c>
      <c r="O844" s="4">
        <v>13341.38</v>
      </c>
      <c r="P844" s="3">
        <v>0.102066096797919</v>
      </c>
    </row>
    <row r="845" spans="1:16" x14ac:dyDescent="0.3">
      <c r="A845">
        <v>1049</v>
      </c>
      <c r="B845" s="2">
        <v>44978</v>
      </c>
      <c r="C845" s="1" t="s">
        <v>26</v>
      </c>
      <c r="D845" s="1" t="s">
        <v>13</v>
      </c>
      <c r="E845" s="1" t="s">
        <v>28</v>
      </c>
      <c r="F845" s="1" t="s">
        <v>15</v>
      </c>
      <c r="G845" s="1" t="s">
        <v>21</v>
      </c>
      <c r="H845" s="1" t="s">
        <v>29</v>
      </c>
      <c r="I845" s="4">
        <v>3570.24</v>
      </c>
      <c r="J845" s="4">
        <v>3712.25</v>
      </c>
      <c r="K845">
        <v>31</v>
      </c>
      <c r="L845" s="3">
        <v>0.03</v>
      </c>
      <c r="M845" s="4">
        <v>110677.44</v>
      </c>
      <c r="N845" s="4">
        <v>115078.82</v>
      </c>
      <c r="O845" s="4">
        <v>4401.38</v>
      </c>
      <c r="P845" s="3">
        <v>3.8246655640021297E-2</v>
      </c>
    </row>
    <row r="846" spans="1:16" x14ac:dyDescent="0.3">
      <c r="A846">
        <v>1002</v>
      </c>
      <c r="B846" s="2">
        <v>44977</v>
      </c>
      <c r="C846" s="1" t="s">
        <v>31</v>
      </c>
      <c r="D846" s="1" t="s">
        <v>19</v>
      </c>
      <c r="E846" s="1" t="s">
        <v>22</v>
      </c>
      <c r="F846" s="1" t="s">
        <v>15</v>
      </c>
      <c r="G846" s="1" t="s">
        <v>21</v>
      </c>
      <c r="H846" s="1" t="s">
        <v>17</v>
      </c>
      <c r="I846" s="4">
        <v>508.94</v>
      </c>
      <c r="J846" s="4">
        <v>557.69000000000005</v>
      </c>
      <c r="K846">
        <v>26</v>
      </c>
      <c r="L846" s="3">
        <v>0.22</v>
      </c>
      <c r="M846" s="4">
        <v>13232.44</v>
      </c>
      <c r="N846" s="4">
        <v>14494.22</v>
      </c>
      <c r="O846" s="4">
        <v>1261.78</v>
      </c>
      <c r="P846" s="3">
        <v>8.7054011875078496E-2</v>
      </c>
    </row>
    <row r="847" spans="1:16" x14ac:dyDescent="0.3">
      <c r="A847">
        <v>1017</v>
      </c>
      <c r="B847" s="2">
        <v>44977</v>
      </c>
      <c r="C847" s="1" t="s">
        <v>31</v>
      </c>
      <c r="D847" s="1" t="s">
        <v>30</v>
      </c>
      <c r="E847" s="1" t="s">
        <v>24</v>
      </c>
      <c r="F847" s="1" t="s">
        <v>15</v>
      </c>
      <c r="G847" s="1" t="s">
        <v>21</v>
      </c>
      <c r="H847" s="1" t="s">
        <v>17</v>
      </c>
      <c r="I847" s="4">
        <v>102.23</v>
      </c>
      <c r="J847" s="4">
        <v>167.12</v>
      </c>
      <c r="K847">
        <v>16</v>
      </c>
      <c r="L847" s="3">
        <v>0.04</v>
      </c>
      <c r="M847" s="4">
        <v>1635.68</v>
      </c>
      <c r="N847" s="4">
        <v>2673.28</v>
      </c>
      <c r="O847" s="4">
        <v>1037.5999999999999</v>
      </c>
      <c r="P847" s="3">
        <v>0.38813741920038303</v>
      </c>
    </row>
    <row r="848" spans="1:16" x14ac:dyDescent="0.3">
      <c r="A848">
        <v>1003</v>
      </c>
      <c r="B848" s="2">
        <v>44976</v>
      </c>
      <c r="C848" s="1" t="s">
        <v>26</v>
      </c>
      <c r="D848" s="1" t="s">
        <v>13</v>
      </c>
      <c r="E848" s="1" t="s">
        <v>28</v>
      </c>
      <c r="F848" s="1" t="s">
        <v>15</v>
      </c>
      <c r="G848" s="1" t="s">
        <v>25</v>
      </c>
      <c r="H848" s="1" t="s">
        <v>29</v>
      </c>
      <c r="I848" s="4">
        <v>4974.1400000000003</v>
      </c>
      <c r="J848" s="4">
        <v>5227.93</v>
      </c>
      <c r="K848">
        <v>45</v>
      </c>
      <c r="L848" s="3">
        <v>0.21</v>
      </c>
      <c r="M848" s="4">
        <v>223836.3</v>
      </c>
      <c r="N848" s="4">
        <v>235247.4</v>
      </c>
      <c r="O848" s="4">
        <v>11411.1</v>
      </c>
      <c r="P848" s="3">
        <v>4.8506806026336502E-2</v>
      </c>
    </row>
    <row r="849" spans="1:16" x14ac:dyDescent="0.3">
      <c r="A849">
        <v>1084</v>
      </c>
      <c r="B849" s="2">
        <v>44976</v>
      </c>
      <c r="C849" s="1" t="s">
        <v>18</v>
      </c>
      <c r="D849" s="1" t="s">
        <v>19</v>
      </c>
      <c r="E849" s="1" t="s">
        <v>22</v>
      </c>
      <c r="F849" s="1" t="s">
        <v>15</v>
      </c>
      <c r="G849" s="1" t="s">
        <v>25</v>
      </c>
      <c r="H849" s="1" t="s">
        <v>29</v>
      </c>
      <c r="I849" s="4">
        <v>465.61</v>
      </c>
      <c r="J849" s="4">
        <v>812.91</v>
      </c>
      <c r="K849">
        <v>35</v>
      </c>
      <c r="L849" s="3">
        <v>0.16</v>
      </c>
      <c r="M849" s="4">
        <v>16296.35</v>
      </c>
      <c r="N849" s="4">
        <v>28446.25</v>
      </c>
      <c r="O849" s="4">
        <v>12149.9</v>
      </c>
      <c r="P849" s="3">
        <v>0.42711780990464498</v>
      </c>
    </row>
    <row r="850" spans="1:16" x14ac:dyDescent="0.3">
      <c r="A850">
        <v>1001</v>
      </c>
      <c r="B850" s="2">
        <v>44975</v>
      </c>
      <c r="C850" s="1" t="s">
        <v>18</v>
      </c>
      <c r="D850" s="1" t="s">
        <v>19</v>
      </c>
      <c r="E850" s="1" t="s">
        <v>14</v>
      </c>
      <c r="F850" s="1" t="s">
        <v>20</v>
      </c>
      <c r="G850" s="1" t="s">
        <v>21</v>
      </c>
      <c r="H850" s="1" t="s">
        <v>17</v>
      </c>
      <c r="I850" s="4">
        <v>939.02</v>
      </c>
      <c r="J850" s="4">
        <v>1286.92</v>
      </c>
      <c r="K850">
        <v>27</v>
      </c>
      <c r="L850" s="3">
        <v>7.0000000000000007E-2</v>
      </c>
      <c r="M850" s="4">
        <v>25353.54</v>
      </c>
      <c r="N850" s="4">
        <v>34744.949999999997</v>
      </c>
      <c r="O850" s="4">
        <v>9391.41</v>
      </c>
      <c r="P850" s="3">
        <v>0.27029568325756698</v>
      </c>
    </row>
    <row r="851" spans="1:16" x14ac:dyDescent="0.3">
      <c r="A851">
        <v>1007</v>
      </c>
      <c r="B851" s="2">
        <v>44975</v>
      </c>
      <c r="C851" s="1" t="s">
        <v>26</v>
      </c>
      <c r="D851" s="1" t="s">
        <v>27</v>
      </c>
      <c r="E851" s="1" t="s">
        <v>14</v>
      </c>
      <c r="F851" s="1" t="s">
        <v>20</v>
      </c>
      <c r="G851" s="1" t="s">
        <v>25</v>
      </c>
      <c r="H851" s="1" t="s">
        <v>17</v>
      </c>
      <c r="I851" s="4">
        <v>1921.07</v>
      </c>
      <c r="J851" s="4">
        <v>2289.27</v>
      </c>
      <c r="K851">
        <v>34</v>
      </c>
      <c r="L851" s="3">
        <v>7.0000000000000007E-2</v>
      </c>
      <c r="M851" s="4">
        <v>65316.38</v>
      </c>
      <c r="N851" s="4">
        <v>77832.800000000003</v>
      </c>
      <c r="O851" s="4">
        <v>12516.42</v>
      </c>
      <c r="P851" s="3">
        <v>0.160811637253189</v>
      </c>
    </row>
    <row r="852" spans="1:16" x14ac:dyDescent="0.3">
      <c r="A852">
        <v>1010</v>
      </c>
      <c r="B852" s="2">
        <v>44973</v>
      </c>
      <c r="C852" s="1" t="s">
        <v>18</v>
      </c>
      <c r="D852" s="1" t="s">
        <v>13</v>
      </c>
      <c r="E852" s="1" t="s">
        <v>24</v>
      </c>
      <c r="F852" s="1" t="s">
        <v>20</v>
      </c>
      <c r="G852" s="1" t="s">
        <v>25</v>
      </c>
      <c r="H852" s="1" t="s">
        <v>29</v>
      </c>
      <c r="I852" s="4">
        <v>2265.38</v>
      </c>
      <c r="J852" s="4">
        <v>2429.9299999999998</v>
      </c>
      <c r="K852">
        <v>47</v>
      </c>
      <c r="L852" s="3">
        <v>0.06</v>
      </c>
      <c r="M852" s="4">
        <v>106472.86</v>
      </c>
      <c r="N852" s="4">
        <v>114203.89</v>
      </c>
      <c r="O852" s="4">
        <v>7731.03</v>
      </c>
      <c r="P852" s="3">
        <v>6.7694979566808103E-2</v>
      </c>
    </row>
    <row r="853" spans="1:16" x14ac:dyDescent="0.3">
      <c r="A853">
        <v>1028</v>
      </c>
      <c r="B853" s="2">
        <v>44973</v>
      </c>
      <c r="C853" s="1" t="s">
        <v>23</v>
      </c>
      <c r="D853" s="1" t="s">
        <v>13</v>
      </c>
      <c r="E853" s="1" t="s">
        <v>28</v>
      </c>
      <c r="F853" s="1" t="s">
        <v>20</v>
      </c>
      <c r="G853" s="1" t="s">
        <v>21</v>
      </c>
      <c r="H853" s="1" t="s">
        <v>29</v>
      </c>
      <c r="I853" s="4">
        <v>1969.09</v>
      </c>
      <c r="J853" s="4">
        <v>2241.96</v>
      </c>
      <c r="K853">
        <v>24</v>
      </c>
      <c r="L853" s="3">
        <v>0.02</v>
      </c>
      <c r="M853" s="4">
        <v>47258.16</v>
      </c>
      <c r="N853" s="4">
        <v>53806.559999999998</v>
      </c>
      <c r="O853" s="4">
        <v>6548.4</v>
      </c>
      <c r="P853" s="3">
        <v>0.12170263254146001</v>
      </c>
    </row>
    <row r="854" spans="1:16" x14ac:dyDescent="0.3">
      <c r="A854">
        <v>1044</v>
      </c>
      <c r="B854" s="2">
        <v>44973</v>
      </c>
      <c r="C854" s="1" t="s">
        <v>18</v>
      </c>
      <c r="D854" s="1" t="s">
        <v>27</v>
      </c>
      <c r="E854" s="1" t="s">
        <v>22</v>
      </c>
      <c r="F854" s="1" t="s">
        <v>20</v>
      </c>
      <c r="G854" s="1" t="s">
        <v>25</v>
      </c>
      <c r="H854" s="1" t="s">
        <v>17</v>
      </c>
      <c r="I854" s="4">
        <v>3373.46</v>
      </c>
      <c r="J854" s="4">
        <v>3454.76</v>
      </c>
      <c r="K854">
        <v>22</v>
      </c>
      <c r="L854" s="3">
        <v>0.22</v>
      </c>
      <c r="M854" s="4">
        <v>74216.12</v>
      </c>
      <c r="N854" s="4">
        <v>75999.88</v>
      </c>
      <c r="O854" s="4">
        <v>1783.76</v>
      </c>
      <c r="P854" s="3">
        <v>2.3470563374573698E-2</v>
      </c>
    </row>
    <row r="855" spans="1:16" x14ac:dyDescent="0.3">
      <c r="A855">
        <v>1053</v>
      </c>
      <c r="B855" s="2">
        <v>44973</v>
      </c>
      <c r="C855" s="1" t="s">
        <v>12</v>
      </c>
      <c r="D855" s="1" t="s">
        <v>19</v>
      </c>
      <c r="E855" s="1" t="s">
        <v>24</v>
      </c>
      <c r="F855" s="1" t="s">
        <v>15</v>
      </c>
      <c r="G855" s="1" t="s">
        <v>21</v>
      </c>
      <c r="H855" s="1" t="s">
        <v>17</v>
      </c>
      <c r="I855" s="4">
        <v>1582.86</v>
      </c>
      <c r="J855" s="4">
        <v>1942.55</v>
      </c>
      <c r="K855">
        <v>11</v>
      </c>
      <c r="L855" s="3">
        <v>0.17</v>
      </c>
      <c r="M855" s="4">
        <v>17411.46</v>
      </c>
      <c r="N855" s="4">
        <v>21366.18</v>
      </c>
      <c r="O855" s="4">
        <v>3954.72</v>
      </c>
      <c r="P855" s="3">
        <v>0.18509251536774499</v>
      </c>
    </row>
    <row r="856" spans="1:16" x14ac:dyDescent="0.3">
      <c r="A856">
        <v>1025</v>
      </c>
      <c r="B856" s="2">
        <v>44972</v>
      </c>
      <c r="C856" s="1" t="s">
        <v>18</v>
      </c>
      <c r="D856" s="1" t="s">
        <v>27</v>
      </c>
      <c r="E856" s="1" t="s">
        <v>14</v>
      </c>
      <c r="F856" s="1" t="s">
        <v>15</v>
      </c>
      <c r="G856" s="1" t="s">
        <v>25</v>
      </c>
      <c r="H856" s="1" t="s">
        <v>17</v>
      </c>
      <c r="I856" s="4">
        <v>1588.04</v>
      </c>
      <c r="J856" s="4">
        <v>1703.64</v>
      </c>
      <c r="K856">
        <v>45</v>
      </c>
      <c r="L856" s="3">
        <v>0.2</v>
      </c>
      <c r="M856" s="4">
        <v>71461.8</v>
      </c>
      <c r="N856" s="4">
        <v>76654.8</v>
      </c>
      <c r="O856" s="4">
        <v>5193</v>
      </c>
      <c r="P856" s="3">
        <v>6.7745268398065106E-2</v>
      </c>
    </row>
    <row r="857" spans="1:16" x14ac:dyDescent="0.3">
      <c r="A857">
        <v>1074</v>
      </c>
      <c r="B857" s="2">
        <v>44972</v>
      </c>
      <c r="C857" s="1" t="s">
        <v>26</v>
      </c>
      <c r="D857" s="1" t="s">
        <v>27</v>
      </c>
      <c r="E857" s="1" t="s">
        <v>24</v>
      </c>
      <c r="F857" s="1" t="s">
        <v>20</v>
      </c>
      <c r="G857" s="1" t="s">
        <v>16</v>
      </c>
      <c r="H857" s="1" t="s">
        <v>17</v>
      </c>
      <c r="I857" s="4">
        <v>1138.32</v>
      </c>
      <c r="J857" s="4">
        <v>1266.25</v>
      </c>
      <c r="K857">
        <v>31</v>
      </c>
      <c r="L857" s="3">
        <v>0.14000000000000001</v>
      </c>
      <c r="M857" s="4">
        <v>35287.919999999998</v>
      </c>
      <c r="N857" s="4">
        <v>39249.410000000003</v>
      </c>
      <c r="O857" s="4">
        <v>3961.49</v>
      </c>
      <c r="P857" s="3">
        <v>0.100931198711012</v>
      </c>
    </row>
    <row r="858" spans="1:16" x14ac:dyDescent="0.3">
      <c r="A858">
        <v>1074</v>
      </c>
      <c r="B858" s="2">
        <v>44972</v>
      </c>
      <c r="C858" s="1" t="s">
        <v>23</v>
      </c>
      <c r="D858" s="1" t="s">
        <v>19</v>
      </c>
      <c r="E858" s="1" t="s">
        <v>24</v>
      </c>
      <c r="F858" s="1" t="s">
        <v>20</v>
      </c>
      <c r="G858" s="1" t="s">
        <v>16</v>
      </c>
      <c r="H858" s="1" t="s">
        <v>17</v>
      </c>
      <c r="I858" s="4">
        <v>1304.23</v>
      </c>
      <c r="J858" s="4">
        <v>1705.71</v>
      </c>
      <c r="K858">
        <v>1</v>
      </c>
      <c r="L858" s="3">
        <v>0.01</v>
      </c>
      <c r="M858" s="4">
        <v>1304.23</v>
      </c>
      <c r="N858" s="4">
        <v>1705.7</v>
      </c>
      <c r="O858" s="4">
        <v>401.47</v>
      </c>
      <c r="P858" s="3">
        <v>0.23536964296183399</v>
      </c>
    </row>
    <row r="859" spans="1:16" x14ac:dyDescent="0.3">
      <c r="A859">
        <v>1094</v>
      </c>
      <c r="B859" s="2">
        <v>44972</v>
      </c>
      <c r="C859" s="1" t="s">
        <v>31</v>
      </c>
      <c r="D859" s="1" t="s">
        <v>27</v>
      </c>
      <c r="E859" s="1" t="s">
        <v>22</v>
      </c>
      <c r="F859" s="1" t="s">
        <v>15</v>
      </c>
      <c r="G859" s="1" t="s">
        <v>21</v>
      </c>
      <c r="H859" s="1" t="s">
        <v>29</v>
      </c>
      <c r="I859" s="4">
        <v>3450.36</v>
      </c>
      <c r="J859" s="4">
        <v>3557.38</v>
      </c>
      <c r="K859">
        <v>47</v>
      </c>
      <c r="L859" s="3">
        <v>0.2</v>
      </c>
      <c r="M859" s="4">
        <v>162166.92000000001</v>
      </c>
      <c r="N859" s="4">
        <v>167187.46</v>
      </c>
      <c r="O859" s="4">
        <v>5020.54</v>
      </c>
      <c r="P859" s="3">
        <v>3.0029405315446501E-2</v>
      </c>
    </row>
    <row r="860" spans="1:16" x14ac:dyDescent="0.3">
      <c r="A860">
        <v>1044</v>
      </c>
      <c r="B860" s="2">
        <v>44971</v>
      </c>
      <c r="C860" s="1" t="s">
        <v>18</v>
      </c>
      <c r="D860" s="1" t="s">
        <v>19</v>
      </c>
      <c r="E860" s="1" t="s">
        <v>28</v>
      </c>
      <c r="F860" s="1" t="s">
        <v>20</v>
      </c>
      <c r="G860" s="1" t="s">
        <v>25</v>
      </c>
      <c r="H860" s="1" t="s">
        <v>29</v>
      </c>
      <c r="I860" s="4">
        <v>2221.31</v>
      </c>
      <c r="J860" s="4">
        <v>2494.48</v>
      </c>
      <c r="K860">
        <v>12</v>
      </c>
      <c r="L860" s="3">
        <v>0.22</v>
      </c>
      <c r="M860" s="4">
        <v>26655.72</v>
      </c>
      <c r="N860" s="4">
        <v>29931.119999999999</v>
      </c>
      <c r="O860" s="4">
        <v>3275.4</v>
      </c>
      <c r="P860" s="3">
        <v>0.10943125415955</v>
      </c>
    </row>
    <row r="861" spans="1:16" x14ac:dyDescent="0.3">
      <c r="A861">
        <v>1099</v>
      </c>
      <c r="B861" s="2">
        <v>44971</v>
      </c>
      <c r="C861" s="1" t="s">
        <v>18</v>
      </c>
      <c r="D861" s="1" t="s">
        <v>27</v>
      </c>
      <c r="E861" s="1" t="s">
        <v>14</v>
      </c>
      <c r="F861" s="1" t="s">
        <v>15</v>
      </c>
      <c r="G861" s="1" t="s">
        <v>21</v>
      </c>
      <c r="H861" s="1" t="s">
        <v>29</v>
      </c>
      <c r="I861" s="4">
        <v>1517.86</v>
      </c>
      <c r="J861" s="4">
        <v>1948.46</v>
      </c>
      <c r="K861">
        <v>32</v>
      </c>
      <c r="L861" s="3">
        <v>0.02</v>
      </c>
      <c r="M861" s="4">
        <v>48571.519999999997</v>
      </c>
      <c r="N861" s="4">
        <v>62350.080000000002</v>
      </c>
      <c r="O861" s="4">
        <v>13778.56</v>
      </c>
      <c r="P861" s="3">
        <v>0.22098704604709399</v>
      </c>
    </row>
    <row r="862" spans="1:16" x14ac:dyDescent="0.3">
      <c r="A862">
        <v>1076</v>
      </c>
      <c r="B862" s="2">
        <v>44970</v>
      </c>
      <c r="C862" s="1" t="s">
        <v>12</v>
      </c>
      <c r="D862" s="1" t="s">
        <v>30</v>
      </c>
      <c r="E862" s="1" t="s">
        <v>14</v>
      </c>
      <c r="F862" s="1" t="s">
        <v>15</v>
      </c>
      <c r="G862" s="1" t="s">
        <v>25</v>
      </c>
      <c r="H862" s="1" t="s">
        <v>17</v>
      </c>
      <c r="I862" s="4">
        <v>604.08000000000004</v>
      </c>
      <c r="J862" s="4">
        <v>624.71</v>
      </c>
      <c r="K862">
        <v>17</v>
      </c>
      <c r="L862" s="3">
        <v>0.14000000000000001</v>
      </c>
      <c r="M862" s="4">
        <v>10269.36</v>
      </c>
      <c r="N862" s="4">
        <v>10617.69</v>
      </c>
      <c r="O862" s="4">
        <v>348.33</v>
      </c>
      <c r="P862" s="3">
        <v>3.2806570920793497E-2</v>
      </c>
    </row>
    <row r="863" spans="1:16" x14ac:dyDescent="0.3">
      <c r="A863">
        <v>1014</v>
      </c>
      <c r="B863" s="2">
        <v>44968</v>
      </c>
      <c r="C863" s="1" t="s">
        <v>18</v>
      </c>
      <c r="D863" s="1" t="s">
        <v>19</v>
      </c>
      <c r="E863" s="1" t="s">
        <v>22</v>
      </c>
      <c r="F863" s="1" t="s">
        <v>20</v>
      </c>
      <c r="G863" s="1" t="s">
        <v>16</v>
      </c>
      <c r="H863" s="1" t="s">
        <v>29</v>
      </c>
      <c r="I863" s="4">
        <v>2257.48</v>
      </c>
      <c r="J863" s="4">
        <v>2747.81</v>
      </c>
      <c r="K863">
        <v>44</v>
      </c>
      <c r="L863" s="3">
        <v>0.27</v>
      </c>
      <c r="M863" s="4">
        <v>99329.12</v>
      </c>
      <c r="N863" s="4">
        <v>120891.76</v>
      </c>
      <c r="O863" s="4">
        <v>21562.639999999999</v>
      </c>
      <c r="P863" s="3">
        <v>0.17836319034481801</v>
      </c>
    </row>
    <row r="864" spans="1:16" x14ac:dyDescent="0.3">
      <c r="A864">
        <v>1021</v>
      </c>
      <c r="B864" s="2">
        <v>44968</v>
      </c>
      <c r="C864" s="1" t="s">
        <v>31</v>
      </c>
      <c r="D864" s="1" t="s">
        <v>19</v>
      </c>
      <c r="E864" s="1" t="s">
        <v>22</v>
      </c>
      <c r="F864" s="1" t="s">
        <v>15</v>
      </c>
      <c r="G864" s="1" t="s">
        <v>16</v>
      </c>
      <c r="H864" s="1" t="s">
        <v>29</v>
      </c>
      <c r="I864" s="4">
        <v>900.79</v>
      </c>
      <c r="J864" s="4">
        <v>1106.51</v>
      </c>
      <c r="K864">
        <v>32</v>
      </c>
      <c r="L864" s="3">
        <v>0.21</v>
      </c>
      <c r="M864" s="4">
        <v>28825.279999999999</v>
      </c>
      <c r="N864" s="4">
        <v>35401.599999999999</v>
      </c>
      <c r="O864" s="4">
        <v>6576.32</v>
      </c>
      <c r="P864" s="3">
        <v>0.18576335532857299</v>
      </c>
    </row>
    <row r="865" spans="1:16" x14ac:dyDescent="0.3">
      <c r="A865">
        <v>1028</v>
      </c>
      <c r="B865" s="2">
        <v>44968</v>
      </c>
      <c r="C865" s="1" t="s">
        <v>26</v>
      </c>
      <c r="D865" s="1" t="s">
        <v>13</v>
      </c>
      <c r="E865" s="1" t="s">
        <v>14</v>
      </c>
      <c r="F865" s="1" t="s">
        <v>20</v>
      </c>
      <c r="G865" s="1" t="s">
        <v>25</v>
      </c>
      <c r="H865" s="1" t="s">
        <v>17</v>
      </c>
      <c r="I865" s="4">
        <v>2521.0300000000002</v>
      </c>
      <c r="J865" s="4">
        <v>2766.05</v>
      </c>
      <c r="K865">
        <v>24</v>
      </c>
      <c r="L865" s="3">
        <v>0.16</v>
      </c>
      <c r="M865" s="4">
        <v>60504.72</v>
      </c>
      <c r="N865" s="4">
        <v>66381.36</v>
      </c>
      <c r="O865" s="4">
        <v>5876.64</v>
      </c>
      <c r="P865" s="3">
        <v>8.8528466424912106E-2</v>
      </c>
    </row>
    <row r="866" spans="1:16" x14ac:dyDescent="0.3">
      <c r="A866">
        <v>1034</v>
      </c>
      <c r="B866" s="2">
        <v>44968</v>
      </c>
      <c r="C866" s="1" t="s">
        <v>12</v>
      </c>
      <c r="D866" s="1" t="s">
        <v>27</v>
      </c>
      <c r="E866" s="1" t="s">
        <v>28</v>
      </c>
      <c r="F866" s="1" t="s">
        <v>15</v>
      </c>
      <c r="G866" s="1" t="s">
        <v>16</v>
      </c>
      <c r="H866" s="1" t="s">
        <v>17</v>
      </c>
      <c r="I866" s="4">
        <v>667</v>
      </c>
      <c r="J866" s="4">
        <v>718.72</v>
      </c>
      <c r="K866">
        <v>26</v>
      </c>
      <c r="L866" s="3">
        <v>0.2</v>
      </c>
      <c r="M866" s="4">
        <v>17342</v>
      </c>
      <c r="N866" s="4">
        <v>18681.52</v>
      </c>
      <c r="O866" s="4">
        <v>1339.52</v>
      </c>
      <c r="P866" s="3">
        <v>7.1702944942381594E-2</v>
      </c>
    </row>
    <row r="867" spans="1:16" x14ac:dyDescent="0.3">
      <c r="A867">
        <v>1050</v>
      </c>
      <c r="B867" s="2">
        <v>44968</v>
      </c>
      <c r="C867" s="1" t="s">
        <v>31</v>
      </c>
      <c r="D867" s="1" t="s">
        <v>19</v>
      </c>
      <c r="E867" s="1" t="s">
        <v>24</v>
      </c>
      <c r="F867" s="1" t="s">
        <v>20</v>
      </c>
      <c r="G867" s="1" t="s">
        <v>25</v>
      </c>
      <c r="H867" s="1" t="s">
        <v>29</v>
      </c>
      <c r="I867" s="4">
        <v>710.06</v>
      </c>
      <c r="J867" s="4">
        <v>851.35</v>
      </c>
      <c r="K867">
        <v>48</v>
      </c>
      <c r="L867" s="3">
        <v>0.04</v>
      </c>
      <c r="M867" s="4">
        <v>34082.879999999997</v>
      </c>
      <c r="N867" s="4">
        <v>40862.879999999997</v>
      </c>
      <c r="O867" s="4">
        <v>6780</v>
      </c>
      <c r="P867" s="3">
        <v>0.165920757420916</v>
      </c>
    </row>
    <row r="868" spans="1:16" x14ac:dyDescent="0.3">
      <c r="A868">
        <v>1024</v>
      </c>
      <c r="B868" s="2">
        <v>44967</v>
      </c>
      <c r="C868" s="1" t="s">
        <v>18</v>
      </c>
      <c r="D868" s="1" t="s">
        <v>13</v>
      </c>
      <c r="E868" s="1" t="s">
        <v>14</v>
      </c>
      <c r="F868" s="1" t="s">
        <v>15</v>
      </c>
      <c r="G868" s="1" t="s">
        <v>16</v>
      </c>
      <c r="H868" s="1" t="s">
        <v>17</v>
      </c>
      <c r="I868" s="4">
        <v>1493.88</v>
      </c>
      <c r="J868" s="4">
        <v>1781.09</v>
      </c>
      <c r="K868">
        <v>13</v>
      </c>
      <c r="L868" s="3">
        <v>0.04</v>
      </c>
      <c r="M868" s="4">
        <v>19420.439999999999</v>
      </c>
      <c r="N868" s="4">
        <v>23153.65</v>
      </c>
      <c r="O868" s="4">
        <v>3733.21</v>
      </c>
      <c r="P868" s="3">
        <v>0.16123634934448799</v>
      </c>
    </row>
    <row r="869" spans="1:16" x14ac:dyDescent="0.3">
      <c r="A869">
        <v>1056</v>
      </c>
      <c r="B869" s="2">
        <v>44967</v>
      </c>
      <c r="C869" s="1" t="s">
        <v>23</v>
      </c>
      <c r="D869" s="1" t="s">
        <v>19</v>
      </c>
      <c r="E869" s="1" t="s">
        <v>24</v>
      </c>
      <c r="F869" s="1" t="s">
        <v>15</v>
      </c>
      <c r="G869" s="1" t="s">
        <v>16</v>
      </c>
      <c r="H869" s="1" t="s">
        <v>29</v>
      </c>
      <c r="I869" s="4">
        <v>1080.1199999999999</v>
      </c>
      <c r="J869" s="4">
        <v>1424.17</v>
      </c>
      <c r="K869">
        <v>42</v>
      </c>
      <c r="L869" s="3">
        <v>0.1</v>
      </c>
      <c r="M869" s="4">
        <v>45365.04</v>
      </c>
      <c r="N869" s="4">
        <v>59810.94</v>
      </c>
      <c r="O869" s="4">
        <v>14445.9</v>
      </c>
      <c r="P869" s="3">
        <v>0.241526048579073</v>
      </c>
    </row>
    <row r="870" spans="1:16" x14ac:dyDescent="0.3">
      <c r="A870">
        <v>1092</v>
      </c>
      <c r="B870" s="2">
        <v>44967</v>
      </c>
      <c r="C870" s="1" t="s">
        <v>23</v>
      </c>
      <c r="D870" s="1" t="s">
        <v>13</v>
      </c>
      <c r="E870" s="1" t="s">
        <v>24</v>
      </c>
      <c r="F870" s="1" t="s">
        <v>20</v>
      </c>
      <c r="G870" s="1" t="s">
        <v>16</v>
      </c>
      <c r="H870" s="1" t="s">
        <v>17</v>
      </c>
      <c r="I870" s="4">
        <v>3681.53</v>
      </c>
      <c r="J870" s="4">
        <v>4076.96</v>
      </c>
      <c r="K870">
        <v>47</v>
      </c>
      <c r="L870" s="3">
        <v>0.17</v>
      </c>
      <c r="M870" s="4">
        <v>173031.91</v>
      </c>
      <c r="N870" s="4">
        <v>191609.13</v>
      </c>
      <c r="O870" s="4">
        <v>18577.22</v>
      </c>
      <c r="P870" s="3">
        <v>9.6953730753852899E-2</v>
      </c>
    </row>
    <row r="871" spans="1:16" x14ac:dyDescent="0.3">
      <c r="A871">
        <v>1020</v>
      </c>
      <c r="B871" s="2">
        <v>44966</v>
      </c>
      <c r="C871" s="1" t="s">
        <v>31</v>
      </c>
      <c r="D871" s="1" t="s">
        <v>13</v>
      </c>
      <c r="E871" s="1" t="s">
        <v>28</v>
      </c>
      <c r="F871" s="1" t="s">
        <v>20</v>
      </c>
      <c r="G871" s="1" t="s">
        <v>16</v>
      </c>
      <c r="H871" s="1" t="s">
        <v>17</v>
      </c>
      <c r="I871" s="4">
        <v>184.05</v>
      </c>
      <c r="J871" s="4">
        <v>675.91</v>
      </c>
      <c r="K871">
        <v>29</v>
      </c>
      <c r="L871" s="3">
        <v>0.1</v>
      </c>
      <c r="M871" s="4">
        <v>5337.45</v>
      </c>
      <c r="N871" s="4">
        <v>19598.490000000002</v>
      </c>
      <c r="O871" s="4">
        <v>14261.04</v>
      </c>
      <c r="P871" s="3">
        <v>0.72766014116393596</v>
      </c>
    </row>
    <row r="872" spans="1:16" x14ac:dyDescent="0.3">
      <c r="A872">
        <v>1038</v>
      </c>
      <c r="B872" s="2">
        <v>44966</v>
      </c>
      <c r="C872" s="1" t="s">
        <v>26</v>
      </c>
      <c r="D872" s="1" t="s">
        <v>13</v>
      </c>
      <c r="E872" s="1" t="s">
        <v>24</v>
      </c>
      <c r="F872" s="1" t="s">
        <v>15</v>
      </c>
      <c r="G872" s="1" t="s">
        <v>16</v>
      </c>
      <c r="H872" s="1" t="s">
        <v>17</v>
      </c>
      <c r="I872" s="4">
        <v>3899.7</v>
      </c>
      <c r="J872" s="4">
        <v>4228.18</v>
      </c>
      <c r="K872">
        <v>16</v>
      </c>
      <c r="L872" s="3">
        <v>0.27</v>
      </c>
      <c r="M872" s="4">
        <v>62395.199999999997</v>
      </c>
      <c r="N872" s="4">
        <v>67646.559999999998</v>
      </c>
      <c r="O872" s="4">
        <v>5251.36</v>
      </c>
      <c r="P872" s="3">
        <v>7.7629372432241897E-2</v>
      </c>
    </row>
    <row r="873" spans="1:16" x14ac:dyDescent="0.3">
      <c r="A873">
        <v>1039</v>
      </c>
      <c r="B873" s="2">
        <v>44966</v>
      </c>
      <c r="C873" s="1" t="s">
        <v>18</v>
      </c>
      <c r="D873" s="1" t="s">
        <v>27</v>
      </c>
      <c r="E873" s="1" t="s">
        <v>22</v>
      </c>
      <c r="F873" s="1" t="s">
        <v>20</v>
      </c>
      <c r="G873" s="1" t="s">
        <v>25</v>
      </c>
      <c r="H873" s="1" t="s">
        <v>17</v>
      </c>
      <c r="I873" s="4">
        <v>2014.11</v>
      </c>
      <c r="J873" s="4">
        <v>2056.35</v>
      </c>
      <c r="K873">
        <v>20</v>
      </c>
      <c r="L873" s="3">
        <v>0.21</v>
      </c>
      <c r="M873" s="4">
        <v>40282.199999999997</v>
      </c>
      <c r="N873" s="4">
        <v>41122.800000000003</v>
      </c>
      <c r="O873" s="4">
        <v>840.6</v>
      </c>
      <c r="P873" s="3">
        <v>2.0441215092357499E-2</v>
      </c>
    </row>
    <row r="874" spans="1:16" x14ac:dyDescent="0.3">
      <c r="A874">
        <v>1046</v>
      </c>
      <c r="B874" s="2">
        <v>44966</v>
      </c>
      <c r="C874" s="1" t="s">
        <v>31</v>
      </c>
      <c r="D874" s="1" t="s">
        <v>13</v>
      </c>
      <c r="E874" s="1" t="s">
        <v>24</v>
      </c>
      <c r="F874" s="1" t="s">
        <v>15</v>
      </c>
      <c r="G874" s="1" t="s">
        <v>16</v>
      </c>
      <c r="H874" s="1" t="s">
        <v>17</v>
      </c>
      <c r="I874" s="4">
        <v>1216.1600000000001</v>
      </c>
      <c r="J874" s="4">
        <v>1295.3699999999999</v>
      </c>
      <c r="K874">
        <v>3</v>
      </c>
      <c r="L874" s="3">
        <v>0.14000000000000001</v>
      </c>
      <c r="M874" s="4">
        <v>3648.48</v>
      </c>
      <c r="N874" s="4">
        <v>3885.69</v>
      </c>
      <c r="O874" s="4">
        <v>237.21</v>
      </c>
      <c r="P874" s="3">
        <v>6.1047072720675097E-2</v>
      </c>
    </row>
    <row r="875" spans="1:16" x14ac:dyDescent="0.3">
      <c r="A875">
        <v>1092</v>
      </c>
      <c r="B875" s="2">
        <v>44966</v>
      </c>
      <c r="C875" s="1" t="s">
        <v>26</v>
      </c>
      <c r="D875" s="1" t="s">
        <v>27</v>
      </c>
      <c r="E875" s="1" t="s">
        <v>14</v>
      </c>
      <c r="F875" s="1" t="s">
        <v>15</v>
      </c>
      <c r="G875" s="1" t="s">
        <v>21</v>
      </c>
      <c r="H875" s="1" t="s">
        <v>29</v>
      </c>
      <c r="I875" s="4">
        <v>3586.58</v>
      </c>
      <c r="J875" s="4">
        <v>4068.43</v>
      </c>
      <c r="K875">
        <v>14</v>
      </c>
      <c r="L875" s="3">
        <v>0.22</v>
      </c>
      <c r="M875" s="4">
        <v>50212.12</v>
      </c>
      <c r="N875" s="4">
        <v>56954.94</v>
      </c>
      <c r="O875" s="4">
        <v>6742.82</v>
      </c>
      <c r="P875" s="3">
        <v>0.11838867708402501</v>
      </c>
    </row>
    <row r="876" spans="1:16" x14ac:dyDescent="0.3">
      <c r="A876">
        <v>1092</v>
      </c>
      <c r="B876" s="2">
        <v>44966</v>
      </c>
      <c r="C876" s="1" t="s">
        <v>18</v>
      </c>
      <c r="D876" s="1" t="s">
        <v>19</v>
      </c>
      <c r="E876" s="1" t="s">
        <v>24</v>
      </c>
      <c r="F876" s="1" t="s">
        <v>15</v>
      </c>
      <c r="G876" s="1" t="s">
        <v>21</v>
      </c>
      <c r="H876" s="1" t="s">
        <v>29</v>
      </c>
      <c r="I876" s="4">
        <v>2037.41</v>
      </c>
      <c r="J876" s="4">
        <v>2238.65</v>
      </c>
      <c r="K876">
        <v>34</v>
      </c>
      <c r="L876" s="3">
        <v>0.3</v>
      </c>
      <c r="M876" s="4">
        <v>69271.94</v>
      </c>
      <c r="N876" s="4">
        <v>76103.899999999994</v>
      </c>
      <c r="O876" s="4">
        <v>6831.96</v>
      </c>
      <c r="P876" s="3">
        <v>8.9771483458797804E-2</v>
      </c>
    </row>
    <row r="877" spans="1:16" x14ac:dyDescent="0.3">
      <c r="A877">
        <v>1015</v>
      </c>
      <c r="B877" s="2">
        <v>44965</v>
      </c>
      <c r="C877" s="1" t="s">
        <v>31</v>
      </c>
      <c r="D877" s="1" t="s">
        <v>13</v>
      </c>
      <c r="E877" s="1" t="s">
        <v>28</v>
      </c>
      <c r="F877" s="1" t="s">
        <v>15</v>
      </c>
      <c r="G877" s="1" t="s">
        <v>16</v>
      </c>
      <c r="H877" s="1" t="s">
        <v>29</v>
      </c>
      <c r="I877" s="4">
        <v>2644.77</v>
      </c>
      <c r="J877" s="4">
        <v>2684.83</v>
      </c>
      <c r="K877">
        <v>23</v>
      </c>
      <c r="L877" s="3">
        <v>0.24</v>
      </c>
      <c r="M877" s="4">
        <v>60829.71</v>
      </c>
      <c r="N877" s="4">
        <v>61745.57</v>
      </c>
      <c r="O877" s="4">
        <v>915.86</v>
      </c>
      <c r="P877" s="3">
        <v>1.4832805009331001E-2</v>
      </c>
    </row>
    <row r="878" spans="1:16" x14ac:dyDescent="0.3">
      <c r="A878">
        <v>1027</v>
      </c>
      <c r="B878" s="2">
        <v>44965</v>
      </c>
      <c r="C878" s="1" t="s">
        <v>26</v>
      </c>
      <c r="D878" s="1" t="s">
        <v>19</v>
      </c>
      <c r="E878" s="1" t="s">
        <v>28</v>
      </c>
      <c r="F878" s="1" t="s">
        <v>15</v>
      </c>
      <c r="G878" s="1" t="s">
        <v>21</v>
      </c>
      <c r="H878" s="1" t="s">
        <v>17</v>
      </c>
      <c r="I878" s="4">
        <v>1748.11</v>
      </c>
      <c r="J878" s="4">
        <v>2220.9</v>
      </c>
      <c r="K878">
        <v>20</v>
      </c>
      <c r="L878" s="3">
        <v>0.23</v>
      </c>
      <c r="M878" s="4">
        <v>34962.199999999997</v>
      </c>
      <c r="N878" s="4">
        <v>44413.4</v>
      </c>
      <c r="O878" s="4">
        <v>9451.2000000000007</v>
      </c>
      <c r="P878" s="3">
        <v>0.21280064124791201</v>
      </c>
    </row>
    <row r="879" spans="1:16" x14ac:dyDescent="0.3">
      <c r="A879">
        <v>1033</v>
      </c>
      <c r="B879" s="2">
        <v>44965</v>
      </c>
      <c r="C879" s="1" t="s">
        <v>12</v>
      </c>
      <c r="D879" s="1" t="s">
        <v>30</v>
      </c>
      <c r="E879" s="1" t="s">
        <v>28</v>
      </c>
      <c r="F879" s="1" t="s">
        <v>20</v>
      </c>
      <c r="G879" s="1" t="s">
        <v>25</v>
      </c>
      <c r="H879" s="1" t="s">
        <v>29</v>
      </c>
      <c r="I879" s="4">
        <v>4232.8100000000004</v>
      </c>
      <c r="J879" s="4">
        <v>4345.25</v>
      </c>
      <c r="K879">
        <v>39</v>
      </c>
      <c r="L879" s="3">
        <v>0.12</v>
      </c>
      <c r="M879" s="4">
        <v>165079.59</v>
      </c>
      <c r="N879" s="4">
        <v>169460.07</v>
      </c>
      <c r="O879" s="4">
        <v>4380.4799999999996</v>
      </c>
      <c r="P879" s="3">
        <v>2.5849629355163099E-2</v>
      </c>
    </row>
    <row r="880" spans="1:16" x14ac:dyDescent="0.3">
      <c r="A880">
        <v>1048</v>
      </c>
      <c r="B880" s="2">
        <v>44965</v>
      </c>
      <c r="C880" s="1" t="s">
        <v>31</v>
      </c>
      <c r="D880" s="1" t="s">
        <v>19</v>
      </c>
      <c r="E880" s="1" t="s">
        <v>14</v>
      </c>
      <c r="F880" s="1" t="s">
        <v>20</v>
      </c>
      <c r="G880" s="1" t="s">
        <v>21</v>
      </c>
      <c r="H880" s="1" t="s">
        <v>29</v>
      </c>
      <c r="I880" s="4">
        <v>3197.76</v>
      </c>
      <c r="J880" s="4">
        <v>3572.61</v>
      </c>
      <c r="K880">
        <v>27</v>
      </c>
      <c r="L880" s="3">
        <v>0.08</v>
      </c>
      <c r="M880" s="4">
        <v>86339.520000000004</v>
      </c>
      <c r="N880" s="4">
        <v>96458.31</v>
      </c>
      <c r="O880" s="4">
        <v>10118.790000000001</v>
      </c>
      <c r="P880" s="3">
        <v>0.10490324783836701</v>
      </c>
    </row>
    <row r="881" spans="1:16" x14ac:dyDescent="0.3">
      <c r="A881">
        <v>1078</v>
      </c>
      <c r="B881" s="2">
        <v>44965</v>
      </c>
      <c r="C881" s="1" t="s">
        <v>26</v>
      </c>
      <c r="D881" s="1" t="s">
        <v>27</v>
      </c>
      <c r="E881" s="1" t="s">
        <v>24</v>
      </c>
      <c r="F881" s="1" t="s">
        <v>20</v>
      </c>
      <c r="G881" s="1" t="s">
        <v>16</v>
      </c>
      <c r="H881" s="1" t="s">
        <v>17</v>
      </c>
      <c r="I881" s="4">
        <v>3026.85</v>
      </c>
      <c r="J881" s="4">
        <v>3183.58</v>
      </c>
      <c r="K881">
        <v>49</v>
      </c>
      <c r="L881" s="3">
        <v>0.25</v>
      </c>
      <c r="M881" s="4">
        <v>148315.65</v>
      </c>
      <c r="N881" s="4">
        <v>155983.17000000001</v>
      </c>
      <c r="O881" s="4">
        <v>7667.52</v>
      </c>
      <c r="P881" s="3">
        <v>4.9156072414735498E-2</v>
      </c>
    </row>
    <row r="882" spans="1:16" x14ac:dyDescent="0.3">
      <c r="A882">
        <v>1090</v>
      </c>
      <c r="B882" s="2">
        <v>44965</v>
      </c>
      <c r="C882" s="1" t="s">
        <v>31</v>
      </c>
      <c r="D882" s="1" t="s">
        <v>30</v>
      </c>
      <c r="E882" s="1" t="s">
        <v>14</v>
      </c>
      <c r="F882" s="1" t="s">
        <v>20</v>
      </c>
      <c r="G882" s="1" t="s">
        <v>16</v>
      </c>
      <c r="H882" s="1" t="s">
        <v>29</v>
      </c>
      <c r="I882" s="4">
        <v>3542.18</v>
      </c>
      <c r="J882" s="4">
        <v>3578.49</v>
      </c>
      <c r="K882">
        <v>44</v>
      </c>
      <c r="L882" s="3">
        <v>0.12</v>
      </c>
      <c r="M882" s="4">
        <v>155855.92000000001</v>
      </c>
      <c r="N882" s="4">
        <v>157448.28</v>
      </c>
      <c r="O882" s="4">
        <v>1592.36</v>
      </c>
      <c r="P882" s="3">
        <v>1.0113543317208699E-2</v>
      </c>
    </row>
    <row r="883" spans="1:16" x14ac:dyDescent="0.3">
      <c r="A883">
        <v>1017</v>
      </c>
      <c r="B883" s="2">
        <v>44964</v>
      </c>
      <c r="C883" s="1" t="s">
        <v>31</v>
      </c>
      <c r="D883" s="1" t="s">
        <v>19</v>
      </c>
      <c r="E883" s="1" t="s">
        <v>22</v>
      </c>
      <c r="F883" s="1" t="s">
        <v>15</v>
      </c>
      <c r="G883" s="1" t="s">
        <v>16</v>
      </c>
      <c r="H883" s="1" t="s">
        <v>17</v>
      </c>
      <c r="I883" s="4">
        <v>728.41</v>
      </c>
      <c r="J883" s="4">
        <v>1094.92</v>
      </c>
      <c r="K883">
        <v>2</v>
      </c>
      <c r="L883" s="3">
        <v>0.24</v>
      </c>
      <c r="M883" s="4">
        <v>1456.82</v>
      </c>
      <c r="N883" s="4">
        <v>2189.36</v>
      </c>
      <c r="O883" s="4">
        <v>732.54</v>
      </c>
      <c r="P883" s="3">
        <v>0.33459093068293899</v>
      </c>
    </row>
    <row r="884" spans="1:16" x14ac:dyDescent="0.3">
      <c r="A884">
        <v>1027</v>
      </c>
      <c r="B884" s="2">
        <v>44964</v>
      </c>
      <c r="C884" s="1" t="s">
        <v>23</v>
      </c>
      <c r="D884" s="1" t="s">
        <v>19</v>
      </c>
      <c r="E884" s="1" t="s">
        <v>22</v>
      </c>
      <c r="F884" s="1" t="s">
        <v>15</v>
      </c>
      <c r="G884" s="1" t="s">
        <v>21</v>
      </c>
      <c r="H884" s="1" t="s">
        <v>29</v>
      </c>
      <c r="I884" s="4">
        <v>999.09</v>
      </c>
      <c r="J884" s="4">
        <v>1271.99</v>
      </c>
      <c r="K884">
        <v>3</v>
      </c>
      <c r="L884" s="3">
        <v>0.15</v>
      </c>
      <c r="M884" s="4">
        <v>2997.27</v>
      </c>
      <c r="N884" s="4">
        <v>3815.52</v>
      </c>
      <c r="O884" s="4">
        <v>818.25</v>
      </c>
      <c r="P884" s="3">
        <v>0.21445307585859899</v>
      </c>
    </row>
    <row r="885" spans="1:16" x14ac:dyDescent="0.3">
      <c r="A885">
        <v>1072</v>
      </c>
      <c r="B885" s="2">
        <v>44964</v>
      </c>
      <c r="C885" s="1" t="s">
        <v>23</v>
      </c>
      <c r="D885" s="1" t="s">
        <v>13</v>
      </c>
      <c r="E885" s="1" t="s">
        <v>22</v>
      </c>
      <c r="F885" s="1" t="s">
        <v>15</v>
      </c>
      <c r="G885" s="1" t="s">
        <v>21</v>
      </c>
      <c r="H885" s="1" t="s">
        <v>17</v>
      </c>
      <c r="I885" s="4">
        <v>3640.17</v>
      </c>
      <c r="J885" s="4">
        <v>4002.63</v>
      </c>
      <c r="K885">
        <v>26</v>
      </c>
      <c r="L885" s="3">
        <v>0.05</v>
      </c>
      <c r="M885" s="4">
        <v>94644.42</v>
      </c>
      <c r="N885" s="4">
        <v>104067.08</v>
      </c>
      <c r="O885" s="4">
        <v>9422.66</v>
      </c>
      <c r="P885" s="3">
        <v>9.0544099056108801E-2</v>
      </c>
    </row>
    <row r="886" spans="1:16" x14ac:dyDescent="0.3">
      <c r="A886">
        <v>1077</v>
      </c>
      <c r="B886" s="2">
        <v>44964</v>
      </c>
      <c r="C886" s="1" t="s">
        <v>12</v>
      </c>
      <c r="D886" s="1" t="s">
        <v>19</v>
      </c>
      <c r="E886" s="1" t="s">
        <v>14</v>
      </c>
      <c r="F886" s="1" t="s">
        <v>15</v>
      </c>
      <c r="G886" s="1" t="s">
        <v>21</v>
      </c>
      <c r="H886" s="1" t="s">
        <v>17</v>
      </c>
      <c r="I886" s="4">
        <v>2427.46</v>
      </c>
      <c r="J886" s="4">
        <v>2743.09</v>
      </c>
      <c r="K886">
        <v>12</v>
      </c>
      <c r="L886" s="3">
        <v>0.28999999999999998</v>
      </c>
      <c r="M886" s="4">
        <v>29129.52</v>
      </c>
      <c r="N886" s="4">
        <v>32913.599999999999</v>
      </c>
      <c r="O886" s="4">
        <v>3784.08</v>
      </c>
      <c r="P886" s="3">
        <v>0.114970103543824</v>
      </c>
    </row>
    <row r="887" spans="1:16" x14ac:dyDescent="0.3">
      <c r="A887">
        <v>1081</v>
      </c>
      <c r="B887" s="2">
        <v>44964</v>
      </c>
      <c r="C887" s="1" t="s">
        <v>18</v>
      </c>
      <c r="D887" s="1" t="s">
        <v>13</v>
      </c>
      <c r="E887" s="1" t="s">
        <v>24</v>
      </c>
      <c r="F887" s="1" t="s">
        <v>15</v>
      </c>
      <c r="G887" s="1" t="s">
        <v>25</v>
      </c>
      <c r="H887" s="1" t="s">
        <v>29</v>
      </c>
      <c r="I887" s="4">
        <v>2782.08</v>
      </c>
      <c r="J887" s="4">
        <v>2879.24</v>
      </c>
      <c r="K887">
        <v>41</v>
      </c>
      <c r="L887" s="3">
        <v>0.21</v>
      </c>
      <c r="M887" s="4">
        <v>114065.28</v>
      </c>
      <c r="N887" s="4">
        <v>118040.23</v>
      </c>
      <c r="O887" s="4">
        <v>3974.95</v>
      </c>
      <c r="P887" s="3">
        <v>3.3674536215322501E-2</v>
      </c>
    </row>
    <row r="888" spans="1:16" x14ac:dyDescent="0.3">
      <c r="A888">
        <v>1026</v>
      </c>
      <c r="B888" s="2">
        <v>44963</v>
      </c>
      <c r="C888" s="1" t="s">
        <v>23</v>
      </c>
      <c r="D888" s="1" t="s">
        <v>19</v>
      </c>
      <c r="E888" s="1" t="s">
        <v>28</v>
      </c>
      <c r="F888" s="1" t="s">
        <v>15</v>
      </c>
      <c r="G888" s="1" t="s">
        <v>21</v>
      </c>
      <c r="H888" s="1" t="s">
        <v>29</v>
      </c>
      <c r="I888" s="4">
        <v>68.33</v>
      </c>
      <c r="J888" s="4">
        <v>219.08</v>
      </c>
      <c r="K888">
        <v>34</v>
      </c>
      <c r="L888" s="3">
        <v>0.02</v>
      </c>
      <c r="M888" s="4">
        <v>2323.2199999999998</v>
      </c>
      <c r="N888" s="4">
        <v>7448.04</v>
      </c>
      <c r="O888" s="4">
        <v>5124.82</v>
      </c>
      <c r="P888" s="3">
        <v>0.68807632612069802</v>
      </c>
    </row>
    <row r="889" spans="1:16" x14ac:dyDescent="0.3">
      <c r="A889">
        <v>1027</v>
      </c>
      <c r="B889" s="2">
        <v>44963</v>
      </c>
      <c r="C889" s="1" t="s">
        <v>12</v>
      </c>
      <c r="D889" s="1" t="s">
        <v>19</v>
      </c>
      <c r="E889" s="1" t="s">
        <v>22</v>
      </c>
      <c r="F889" s="1" t="s">
        <v>15</v>
      </c>
      <c r="G889" s="1" t="s">
        <v>21</v>
      </c>
      <c r="H889" s="1" t="s">
        <v>17</v>
      </c>
      <c r="I889" s="4">
        <v>1153.9000000000001</v>
      </c>
      <c r="J889" s="4">
        <v>1485.34</v>
      </c>
      <c r="K889">
        <v>45</v>
      </c>
      <c r="L889" s="3">
        <v>0.25</v>
      </c>
      <c r="M889" s="4">
        <v>51925.5</v>
      </c>
      <c r="N889" s="4">
        <v>66829.05</v>
      </c>
      <c r="O889" s="4">
        <v>14903.55</v>
      </c>
      <c r="P889" s="3">
        <v>0.22301005326276499</v>
      </c>
    </row>
    <row r="890" spans="1:16" x14ac:dyDescent="0.3">
      <c r="A890">
        <v>1036</v>
      </c>
      <c r="B890" s="2">
        <v>44963</v>
      </c>
      <c r="C890" s="1" t="s">
        <v>31</v>
      </c>
      <c r="D890" s="1" t="s">
        <v>13</v>
      </c>
      <c r="E890" s="1" t="s">
        <v>28</v>
      </c>
      <c r="F890" s="1" t="s">
        <v>20</v>
      </c>
      <c r="G890" s="1" t="s">
        <v>21</v>
      </c>
      <c r="H890" s="1" t="s">
        <v>17</v>
      </c>
      <c r="I890" s="4">
        <v>4266.3599999999997</v>
      </c>
      <c r="J890" s="4">
        <v>4331.43</v>
      </c>
      <c r="K890">
        <v>26</v>
      </c>
      <c r="L890" s="3">
        <v>0.14000000000000001</v>
      </c>
      <c r="M890" s="4">
        <v>110925.36</v>
      </c>
      <c r="N890" s="4">
        <v>112613.54</v>
      </c>
      <c r="O890" s="4">
        <v>1688.18</v>
      </c>
      <c r="P890" s="3">
        <v>1.49909149468172E-2</v>
      </c>
    </row>
    <row r="891" spans="1:16" x14ac:dyDescent="0.3">
      <c r="A891">
        <v>1030</v>
      </c>
      <c r="B891" s="2">
        <v>44962</v>
      </c>
      <c r="C891" s="1" t="s">
        <v>18</v>
      </c>
      <c r="D891" s="1" t="s">
        <v>13</v>
      </c>
      <c r="E891" s="1" t="s">
        <v>24</v>
      </c>
      <c r="F891" s="1" t="s">
        <v>20</v>
      </c>
      <c r="G891" s="1" t="s">
        <v>16</v>
      </c>
      <c r="H891" s="1" t="s">
        <v>17</v>
      </c>
      <c r="I891" s="4">
        <v>2590.29</v>
      </c>
      <c r="J891" s="4">
        <v>2925.86</v>
      </c>
      <c r="K891">
        <v>49</v>
      </c>
      <c r="L891" s="3">
        <v>0.26</v>
      </c>
      <c r="M891" s="4">
        <v>126924.21</v>
      </c>
      <c r="N891" s="4">
        <v>143354.4</v>
      </c>
      <c r="O891" s="4">
        <v>16430.189999999999</v>
      </c>
      <c r="P891" s="3">
        <v>0.114612387202625</v>
      </c>
    </row>
    <row r="892" spans="1:16" x14ac:dyDescent="0.3">
      <c r="A892">
        <v>1048</v>
      </c>
      <c r="B892" s="2">
        <v>44962</v>
      </c>
      <c r="C892" s="1" t="s">
        <v>18</v>
      </c>
      <c r="D892" s="1" t="s">
        <v>30</v>
      </c>
      <c r="E892" s="1" t="s">
        <v>28</v>
      </c>
      <c r="F892" s="1" t="s">
        <v>20</v>
      </c>
      <c r="G892" s="1" t="s">
        <v>21</v>
      </c>
      <c r="H892" s="1" t="s">
        <v>29</v>
      </c>
      <c r="I892" s="4">
        <v>4723.83</v>
      </c>
      <c r="J892" s="4">
        <v>5186.1899999999996</v>
      </c>
      <c r="K892">
        <v>42</v>
      </c>
      <c r="L892" s="3">
        <v>0.22</v>
      </c>
      <c r="M892" s="4">
        <v>198400.86</v>
      </c>
      <c r="N892" s="4">
        <v>217810.74</v>
      </c>
      <c r="O892" s="4">
        <v>19409.88</v>
      </c>
      <c r="P892" s="3">
        <v>8.9113512033428696E-2</v>
      </c>
    </row>
    <row r="893" spans="1:16" x14ac:dyDescent="0.3">
      <c r="A893">
        <v>1080</v>
      </c>
      <c r="B893" s="2">
        <v>44962</v>
      </c>
      <c r="C893" s="1" t="s">
        <v>31</v>
      </c>
      <c r="D893" s="1" t="s">
        <v>27</v>
      </c>
      <c r="E893" s="1" t="s">
        <v>28</v>
      </c>
      <c r="F893" s="1" t="s">
        <v>15</v>
      </c>
      <c r="G893" s="1" t="s">
        <v>21</v>
      </c>
      <c r="H893" s="1" t="s">
        <v>17</v>
      </c>
      <c r="I893" s="4">
        <v>1141.52</v>
      </c>
      <c r="J893" s="4">
        <v>1550.19</v>
      </c>
      <c r="K893">
        <v>9</v>
      </c>
      <c r="L893" s="3">
        <v>0.28000000000000003</v>
      </c>
      <c r="M893" s="4">
        <v>10273.68</v>
      </c>
      <c r="N893" s="4">
        <v>13949.19</v>
      </c>
      <c r="O893" s="4">
        <v>3675.51</v>
      </c>
      <c r="P893" s="3">
        <v>0.26349271893206699</v>
      </c>
    </row>
    <row r="894" spans="1:16" x14ac:dyDescent="0.3">
      <c r="A894">
        <v>1026</v>
      </c>
      <c r="B894" s="2">
        <v>44961</v>
      </c>
      <c r="C894" s="1" t="s">
        <v>26</v>
      </c>
      <c r="D894" s="1" t="s">
        <v>19</v>
      </c>
      <c r="E894" s="1" t="s">
        <v>28</v>
      </c>
      <c r="F894" s="1" t="s">
        <v>15</v>
      </c>
      <c r="G894" s="1" t="s">
        <v>21</v>
      </c>
      <c r="H894" s="1" t="s">
        <v>17</v>
      </c>
      <c r="I894" s="4">
        <v>1265.48</v>
      </c>
      <c r="J894" s="4">
        <v>1715.83</v>
      </c>
      <c r="K894">
        <v>19</v>
      </c>
      <c r="L894" s="3">
        <v>0.05</v>
      </c>
      <c r="M894" s="4">
        <v>24044.12</v>
      </c>
      <c r="N894" s="4">
        <v>32599.82</v>
      </c>
      <c r="O894" s="4">
        <v>8555.7000000000007</v>
      </c>
      <c r="P894" s="3">
        <v>0.26244623436571102</v>
      </c>
    </row>
    <row r="895" spans="1:16" x14ac:dyDescent="0.3">
      <c r="A895">
        <v>1038</v>
      </c>
      <c r="B895" s="2">
        <v>44961</v>
      </c>
      <c r="C895" s="1" t="s">
        <v>31</v>
      </c>
      <c r="D895" s="1" t="s">
        <v>30</v>
      </c>
      <c r="E895" s="1" t="s">
        <v>24</v>
      </c>
      <c r="F895" s="1" t="s">
        <v>20</v>
      </c>
      <c r="G895" s="1" t="s">
        <v>16</v>
      </c>
      <c r="H895" s="1" t="s">
        <v>29</v>
      </c>
      <c r="I895" s="4">
        <v>523.02</v>
      </c>
      <c r="J895" s="4">
        <v>686.25</v>
      </c>
      <c r="K895">
        <v>7</v>
      </c>
      <c r="L895" s="3">
        <v>0.04</v>
      </c>
      <c r="M895" s="4">
        <v>3661.14</v>
      </c>
      <c r="N895" s="4">
        <v>4803.47</v>
      </c>
      <c r="O895" s="4">
        <v>1142.33</v>
      </c>
      <c r="P895" s="3">
        <v>0.23781349732589099</v>
      </c>
    </row>
    <row r="896" spans="1:16" x14ac:dyDescent="0.3">
      <c r="A896">
        <v>1013</v>
      </c>
      <c r="B896" s="2">
        <v>44960</v>
      </c>
      <c r="C896" s="1" t="s">
        <v>23</v>
      </c>
      <c r="D896" s="1" t="s">
        <v>30</v>
      </c>
      <c r="E896" s="1" t="s">
        <v>14</v>
      </c>
      <c r="F896" s="1" t="s">
        <v>15</v>
      </c>
      <c r="G896" s="1" t="s">
        <v>21</v>
      </c>
      <c r="H896" s="1" t="s">
        <v>29</v>
      </c>
      <c r="I896" s="4">
        <v>4625.33</v>
      </c>
      <c r="J896" s="4">
        <v>4642.83</v>
      </c>
      <c r="K896">
        <v>42</v>
      </c>
      <c r="L896" s="3">
        <v>0.19</v>
      </c>
      <c r="M896" s="4">
        <v>194263.86</v>
      </c>
      <c r="N896" s="4">
        <v>194990.88</v>
      </c>
      <c r="O896" s="4">
        <v>727.02</v>
      </c>
      <c r="P896" s="3">
        <v>3.7284820705460698E-3</v>
      </c>
    </row>
    <row r="897" spans="1:16" x14ac:dyDescent="0.3">
      <c r="A897">
        <v>1035</v>
      </c>
      <c r="B897" s="2">
        <v>44960</v>
      </c>
      <c r="C897" s="1" t="s">
        <v>31</v>
      </c>
      <c r="D897" s="1" t="s">
        <v>30</v>
      </c>
      <c r="E897" s="1" t="s">
        <v>22</v>
      </c>
      <c r="F897" s="1" t="s">
        <v>20</v>
      </c>
      <c r="G897" s="1" t="s">
        <v>16</v>
      </c>
      <c r="H897" s="1" t="s">
        <v>29</v>
      </c>
      <c r="I897" s="4">
        <v>4483.8500000000004</v>
      </c>
      <c r="J897" s="4">
        <v>4795.42</v>
      </c>
      <c r="K897">
        <v>5</v>
      </c>
      <c r="L897" s="3">
        <v>0.23</v>
      </c>
      <c r="M897" s="4">
        <v>22419.25</v>
      </c>
      <c r="N897" s="4">
        <v>23975.95</v>
      </c>
      <c r="O897" s="4">
        <v>1556.7</v>
      </c>
      <c r="P897" s="3">
        <v>6.4927562828584501E-2</v>
      </c>
    </row>
    <row r="898" spans="1:16" x14ac:dyDescent="0.3">
      <c r="A898">
        <v>1052</v>
      </c>
      <c r="B898" s="2">
        <v>44960</v>
      </c>
      <c r="C898" s="1" t="s">
        <v>23</v>
      </c>
      <c r="D898" s="1" t="s">
        <v>30</v>
      </c>
      <c r="E898" s="1" t="s">
        <v>24</v>
      </c>
      <c r="F898" s="1" t="s">
        <v>20</v>
      </c>
      <c r="G898" s="1" t="s">
        <v>16</v>
      </c>
      <c r="H898" s="1" t="s">
        <v>29</v>
      </c>
      <c r="I898" s="4">
        <v>152.75</v>
      </c>
      <c r="J898" s="4">
        <v>267.22000000000003</v>
      </c>
      <c r="K898">
        <v>18</v>
      </c>
      <c r="L898" s="3">
        <v>0.09</v>
      </c>
      <c r="M898" s="4">
        <v>2749.5</v>
      </c>
      <c r="N898" s="4">
        <v>4808.34</v>
      </c>
      <c r="O898" s="4">
        <v>2058.84</v>
      </c>
      <c r="P898" s="3">
        <v>0.42818103545090402</v>
      </c>
    </row>
    <row r="899" spans="1:16" x14ac:dyDescent="0.3">
      <c r="A899">
        <v>1096</v>
      </c>
      <c r="B899" s="2">
        <v>44959</v>
      </c>
      <c r="C899" s="1" t="s">
        <v>26</v>
      </c>
      <c r="D899" s="1" t="s">
        <v>13</v>
      </c>
      <c r="E899" s="1" t="s">
        <v>28</v>
      </c>
      <c r="F899" s="1" t="s">
        <v>15</v>
      </c>
      <c r="G899" s="1" t="s">
        <v>16</v>
      </c>
      <c r="H899" s="1" t="s">
        <v>29</v>
      </c>
      <c r="I899" s="4">
        <v>1724.24</v>
      </c>
      <c r="J899" s="4">
        <v>2036.2</v>
      </c>
      <c r="K899">
        <v>31</v>
      </c>
      <c r="L899" s="3">
        <v>0.17</v>
      </c>
      <c r="M899" s="4">
        <v>53451.44</v>
      </c>
      <c r="N899" s="4">
        <v>63116.93</v>
      </c>
      <c r="O899" s="4">
        <v>9665.49</v>
      </c>
      <c r="P899" s="3">
        <v>0.153136250448176</v>
      </c>
    </row>
    <row r="900" spans="1:16" x14ac:dyDescent="0.3">
      <c r="A900">
        <v>1069</v>
      </c>
      <c r="B900" s="2">
        <v>44958</v>
      </c>
      <c r="C900" s="1" t="s">
        <v>12</v>
      </c>
      <c r="D900" s="1" t="s">
        <v>30</v>
      </c>
      <c r="E900" s="1" t="s">
        <v>24</v>
      </c>
      <c r="F900" s="1" t="s">
        <v>15</v>
      </c>
      <c r="G900" s="1" t="s">
        <v>25</v>
      </c>
      <c r="H900" s="1" t="s">
        <v>17</v>
      </c>
      <c r="I900" s="4">
        <v>2760.21</v>
      </c>
      <c r="J900" s="4">
        <v>3219.58</v>
      </c>
      <c r="K900">
        <v>18</v>
      </c>
      <c r="L900" s="3">
        <v>0.27</v>
      </c>
      <c r="M900" s="4">
        <v>49683.78</v>
      </c>
      <c r="N900" s="4">
        <v>57947.58</v>
      </c>
      <c r="O900" s="4">
        <v>8263.7999999999993</v>
      </c>
      <c r="P900" s="3">
        <v>0.14260819865126401</v>
      </c>
    </row>
    <row r="901" spans="1:16" x14ac:dyDescent="0.3">
      <c r="A901">
        <v>1097</v>
      </c>
      <c r="B901" s="2">
        <v>44958</v>
      </c>
      <c r="C901" s="1" t="s">
        <v>26</v>
      </c>
      <c r="D901" s="1" t="s">
        <v>19</v>
      </c>
      <c r="E901" s="1" t="s">
        <v>28</v>
      </c>
      <c r="F901" s="1" t="s">
        <v>20</v>
      </c>
      <c r="G901" s="1" t="s">
        <v>21</v>
      </c>
      <c r="H901" s="1" t="s">
        <v>29</v>
      </c>
      <c r="I901" s="4">
        <v>3955.19</v>
      </c>
      <c r="J901" s="4">
        <v>4393.68</v>
      </c>
      <c r="K901">
        <v>27</v>
      </c>
      <c r="L901" s="3">
        <v>0.04</v>
      </c>
      <c r="M901" s="4">
        <v>106790.13</v>
      </c>
      <c r="N901" s="4">
        <v>118628.28</v>
      </c>
      <c r="O901" s="4">
        <v>11838.15</v>
      </c>
      <c r="P901" s="3">
        <v>9.9791972032301196E-2</v>
      </c>
    </row>
    <row r="902" spans="1:16" x14ac:dyDescent="0.3">
      <c r="A902">
        <v>1042</v>
      </c>
      <c r="B902" s="2">
        <v>44957</v>
      </c>
      <c r="C902" s="1" t="s">
        <v>26</v>
      </c>
      <c r="D902" s="1" t="s">
        <v>30</v>
      </c>
      <c r="E902" s="1" t="s">
        <v>22</v>
      </c>
      <c r="F902" s="1" t="s">
        <v>20</v>
      </c>
      <c r="G902" s="1" t="s">
        <v>16</v>
      </c>
      <c r="H902" s="1" t="s">
        <v>29</v>
      </c>
      <c r="I902" s="4">
        <v>635.20000000000005</v>
      </c>
      <c r="J902" s="4">
        <v>814.14</v>
      </c>
      <c r="K902">
        <v>11</v>
      </c>
      <c r="L902" s="3">
        <v>0.02</v>
      </c>
      <c r="M902" s="4">
        <v>6987.2</v>
      </c>
      <c r="N902" s="4">
        <v>8955.32</v>
      </c>
      <c r="O902" s="4">
        <v>1968.12</v>
      </c>
      <c r="P902" s="3">
        <v>0.21977104112415899</v>
      </c>
    </row>
    <row r="903" spans="1:16" x14ac:dyDescent="0.3">
      <c r="A903">
        <v>1057</v>
      </c>
      <c r="B903" s="2">
        <v>44957</v>
      </c>
      <c r="C903" s="1" t="s">
        <v>31</v>
      </c>
      <c r="D903" s="1" t="s">
        <v>30</v>
      </c>
      <c r="E903" s="1" t="s">
        <v>22</v>
      </c>
      <c r="F903" s="1" t="s">
        <v>20</v>
      </c>
      <c r="G903" s="1" t="s">
        <v>16</v>
      </c>
      <c r="H903" s="1" t="s">
        <v>29</v>
      </c>
      <c r="I903" s="4">
        <v>4995.3</v>
      </c>
      <c r="J903" s="4">
        <v>5165.09</v>
      </c>
      <c r="K903">
        <v>36</v>
      </c>
      <c r="L903" s="3">
        <v>0.24</v>
      </c>
      <c r="M903" s="4">
        <v>179830.8</v>
      </c>
      <c r="N903" s="4">
        <v>185934.6</v>
      </c>
      <c r="O903" s="4">
        <v>6103.8</v>
      </c>
      <c r="P903" s="3">
        <v>3.2827671665198399E-2</v>
      </c>
    </row>
    <row r="904" spans="1:16" x14ac:dyDescent="0.3">
      <c r="A904">
        <v>1007</v>
      </c>
      <c r="B904" s="2">
        <v>44955</v>
      </c>
      <c r="C904" s="1" t="s">
        <v>31</v>
      </c>
      <c r="D904" s="1" t="s">
        <v>19</v>
      </c>
      <c r="E904" s="1" t="s">
        <v>24</v>
      </c>
      <c r="F904" s="1" t="s">
        <v>20</v>
      </c>
      <c r="G904" s="1" t="s">
        <v>16</v>
      </c>
      <c r="H904" s="1" t="s">
        <v>17</v>
      </c>
      <c r="I904" s="4">
        <v>3765.46</v>
      </c>
      <c r="J904" s="4">
        <v>3860.56</v>
      </c>
      <c r="K904">
        <v>13</v>
      </c>
      <c r="L904" s="3">
        <v>0.22</v>
      </c>
      <c r="M904" s="4">
        <v>48950.98</v>
      </c>
      <c r="N904" s="4">
        <v>50184.42</v>
      </c>
      <c r="O904" s="4">
        <v>1233.44</v>
      </c>
      <c r="P904" s="3">
        <v>2.4578145966417501E-2</v>
      </c>
    </row>
    <row r="905" spans="1:16" x14ac:dyDescent="0.3">
      <c r="A905">
        <v>1009</v>
      </c>
      <c r="B905" s="2">
        <v>44955</v>
      </c>
      <c r="C905" s="1" t="s">
        <v>12</v>
      </c>
      <c r="D905" s="1" t="s">
        <v>19</v>
      </c>
      <c r="E905" s="1" t="s">
        <v>14</v>
      </c>
      <c r="F905" s="1" t="s">
        <v>20</v>
      </c>
      <c r="G905" s="1" t="s">
        <v>25</v>
      </c>
      <c r="H905" s="1" t="s">
        <v>17</v>
      </c>
      <c r="I905" s="4">
        <v>3745.69</v>
      </c>
      <c r="J905" s="4">
        <v>3883.77</v>
      </c>
      <c r="K905">
        <v>16</v>
      </c>
      <c r="L905" s="3">
        <v>0.18</v>
      </c>
      <c r="M905" s="4">
        <v>59931.040000000001</v>
      </c>
      <c r="N905" s="4">
        <v>62137.440000000002</v>
      </c>
      <c r="O905" s="4">
        <v>2206.4</v>
      </c>
      <c r="P905" s="3">
        <v>3.5508382707752403E-2</v>
      </c>
    </row>
    <row r="906" spans="1:16" x14ac:dyDescent="0.3">
      <c r="A906">
        <v>1017</v>
      </c>
      <c r="B906" s="2">
        <v>44955</v>
      </c>
      <c r="C906" s="1" t="s">
        <v>31</v>
      </c>
      <c r="D906" s="1" t="s">
        <v>27</v>
      </c>
      <c r="E906" s="1" t="s">
        <v>28</v>
      </c>
      <c r="F906" s="1" t="s">
        <v>15</v>
      </c>
      <c r="G906" s="1" t="s">
        <v>21</v>
      </c>
      <c r="H906" s="1" t="s">
        <v>29</v>
      </c>
      <c r="I906" s="4">
        <v>1233.1199999999999</v>
      </c>
      <c r="J906" s="4">
        <v>1697.19</v>
      </c>
      <c r="K906">
        <v>19</v>
      </c>
      <c r="L906" s="3">
        <v>0.1</v>
      </c>
      <c r="M906" s="4">
        <v>23429.279999999999</v>
      </c>
      <c r="N906" s="4">
        <v>32244.71</v>
      </c>
      <c r="O906" s="4">
        <v>8815.43</v>
      </c>
      <c r="P906" s="3">
        <v>0.27339151135178502</v>
      </c>
    </row>
    <row r="907" spans="1:16" x14ac:dyDescent="0.3">
      <c r="A907">
        <v>1018</v>
      </c>
      <c r="B907" s="2">
        <v>44955</v>
      </c>
      <c r="C907" s="1" t="s">
        <v>18</v>
      </c>
      <c r="D907" s="1" t="s">
        <v>19</v>
      </c>
      <c r="E907" s="1" t="s">
        <v>22</v>
      </c>
      <c r="F907" s="1" t="s">
        <v>15</v>
      </c>
      <c r="G907" s="1" t="s">
        <v>25</v>
      </c>
      <c r="H907" s="1" t="s">
        <v>29</v>
      </c>
      <c r="I907" s="4">
        <v>4660.82</v>
      </c>
      <c r="J907" s="4">
        <v>5011.43</v>
      </c>
      <c r="K907">
        <v>25</v>
      </c>
      <c r="L907" s="3">
        <v>7.0000000000000007E-2</v>
      </c>
      <c r="M907" s="4">
        <v>116520.5</v>
      </c>
      <c r="N907" s="4">
        <v>125284</v>
      </c>
      <c r="O907" s="4">
        <v>8763.5</v>
      </c>
      <c r="P907" s="3">
        <v>6.9949075700009605E-2</v>
      </c>
    </row>
    <row r="908" spans="1:16" x14ac:dyDescent="0.3">
      <c r="A908">
        <v>1042</v>
      </c>
      <c r="B908" s="2">
        <v>44955</v>
      </c>
      <c r="C908" s="1" t="s">
        <v>12</v>
      </c>
      <c r="D908" s="1" t="s">
        <v>30</v>
      </c>
      <c r="E908" s="1" t="s">
        <v>22</v>
      </c>
      <c r="F908" s="1" t="s">
        <v>15</v>
      </c>
      <c r="G908" s="1" t="s">
        <v>25</v>
      </c>
      <c r="H908" s="1" t="s">
        <v>29</v>
      </c>
      <c r="I908" s="4">
        <v>2403.54</v>
      </c>
      <c r="J908" s="4">
        <v>2850.56</v>
      </c>
      <c r="K908">
        <v>25</v>
      </c>
      <c r="L908" s="3">
        <v>0.13</v>
      </c>
      <c r="M908" s="4">
        <v>60088.5</v>
      </c>
      <c r="N908" s="4">
        <v>71260.75</v>
      </c>
      <c r="O908" s="4">
        <v>11172.25</v>
      </c>
      <c r="P908" s="3">
        <v>0.15677985426760199</v>
      </c>
    </row>
    <row r="909" spans="1:16" x14ac:dyDescent="0.3">
      <c r="A909">
        <v>1092</v>
      </c>
      <c r="B909" s="2">
        <v>44955</v>
      </c>
      <c r="C909" s="1" t="s">
        <v>23</v>
      </c>
      <c r="D909" s="1" t="s">
        <v>27</v>
      </c>
      <c r="E909" s="1" t="s">
        <v>14</v>
      </c>
      <c r="F909" s="1" t="s">
        <v>15</v>
      </c>
      <c r="G909" s="1" t="s">
        <v>21</v>
      </c>
      <c r="H909" s="1" t="s">
        <v>17</v>
      </c>
      <c r="I909" s="4">
        <v>2684.5</v>
      </c>
      <c r="J909" s="4">
        <v>2913.78</v>
      </c>
      <c r="K909">
        <v>13</v>
      </c>
      <c r="L909" s="3">
        <v>0.08</v>
      </c>
      <c r="M909" s="4">
        <v>34898.5</v>
      </c>
      <c r="N909" s="4">
        <v>37878.1</v>
      </c>
      <c r="O909" s="4">
        <v>2979.6</v>
      </c>
      <c r="P909" s="3">
        <v>7.8662868517692303E-2</v>
      </c>
    </row>
    <row r="910" spans="1:16" x14ac:dyDescent="0.3">
      <c r="A910">
        <v>1016</v>
      </c>
      <c r="B910" s="2">
        <v>44953</v>
      </c>
      <c r="C910" s="1" t="s">
        <v>12</v>
      </c>
      <c r="D910" s="1" t="s">
        <v>30</v>
      </c>
      <c r="E910" s="1" t="s">
        <v>22</v>
      </c>
      <c r="F910" s="1" t="s">
        <v>15</v>
      </c>
      <c r="G910" s="1" t="s">
        <v>25</v>
      </c>
      <c r="H910" s="1" t="s">
        <v>17</v>
      </c>
      <c r="I910" s="4">
        <v>3386.49</v>
      </c>
      <c r="J910" s="4">
        <v>3430.99</v>
      </c>
      <c r="K910">
        <v>41</v>
      </c>
      <c r="L910" s="3">
        <v>0.21</v>
      </c>
      <c r="M910" s="4">
        <v>138846.09</v>
      </c>
      <c r="N910" s="4">
        <v>140661.98000000001</v>
      </c>
      <c r="O910" s="4">
        <v>1815.89</v>
      </c>
      <c r="P910" s="3">
        <v>1.2909600732194999E-2</v>
      </c>
    </row>
    <row r="911" spans="1:16" x14ac:dyDescent="0.3">
      <c r="A911">
        <v>1034</v>
      </c>
      <c r="B911" s="2">
        <v>44953</v>
      </c>
      <c r="C911" s="1" t="s">
        <v>23</v>
      </c>
      <c r="D911" s="1" t="s">
        <v>13</v>
      </c>
      <c r="E911" s="1" t="s">
        <v>22</v>
      </c>
      <c r="F911" s="1" t="s">
        <v>15</v>
      </c>
      <c r="G911" s="1" t="s">
        <v>25</v>
      </c>
      <c r="H911" s="1" t="s">
        <v>29</v>
      </c>
      <c r="I911" s="4">
        <v>2729.75</v>
      </c>
      <c r="J911" s="4">
        <v>3081.5</v>
      </c>
      <c r="K911">
        <v>38</v>
      </c>
      <c r="L911" s="3">
        <v>0.01</v>
      </c>
      <c r="M911" s="4">
        <v>103730.5</v>
      </c>
      <c r="N911" s="4">
        <v>117096.62</v>
      </c>
      <c r="O911" s="4">
        <v>13366.12</v>
      </c>
      <c r="P911" s="3">
        <v>0.11414607868271499</v>
      </c>
    </row>
    <row r="912" spans="1:16" x14ac:dyDescent="0.3">
      <c r="A912">
        <v>1065</v>
      </c>
      <c r="B912" s="2">
        <v>44953</v>
      </c>
      <c r="C912" s="1" t="s">
        <v>23</v>
      </c>
      <c r="D912" s="1" t="s">
        <v>27</v>
      </c>
      <c r="E912" s="1" t="s">
        <v>28</v>
      </c>
      <c r="F912" s="1" t="s">
        <v>20</v>
      </c>
      <c r="G912" s="1" t="s">
        <v>16</v>
      </c>
      <c r="H912" s="1" t="s">
        <v>29</v>
      </c>
      <c r="I912" s="4">
        <v>2035.68</v>
      </c>
      <c r="J912" s="4">
        <v>2079.64</v>
      </c>
      <c r="K912">
        <v>12</v>
      </c>
      <c r="L912" s="3">
        <v>0.04</v>
      </c>
      <c r="M912" s="4">
        <v>24428.16</v>
      </c>
      <c r="N912" s="4">
        <v>24955.200000000001</v>
      </c>
      <c r="O912" s="4">
        <v>527.04</v>
      </c>
      <c r="P912" s="3">
        <v>2.11194460473168E-2</v>
      </c>
    </row>
    <row r="913" spans="1:16" x14ac:dyDescent="0.3">
      <c r="A913">
        <v>1092</v>
      </c>
      <c r="B913" s="2">
        <v>44953</v>
      </c>
      <c r="C913" s="1" t="s">
        <v>18</v>
      </c>
      <c r="D913" s="1" t="s">
        <v>19</v>
      </c>
      <c r="E913" s="1" t="s">
        <v>24</v>
      </c>
      <c r="F913" s="1" t="s">
        <v>15</v>
      </c>
      <c r="G913" s="1" t="s">
        <v>16</v>
      </c>
      <c r="H913" s="1" t="s">
        <v>29</v>
      </c>
      <c r="I913" s="4">
        <v>3697.29</v>
      </c>
      <c r="J913" s="4">
        <v>4003.96</v>
      </c>
      <c r="K913">
        <v>26</v>
      </c>
      <c r="L913" s="3">
        <v>0.24</v>
      </c>
      <c r="M913" s="4">
        <v>96129.54</v>
      </c>
      <c r="N913" s="4">
        <v>104096.72</v>
      </c>
      <c r="O913" s="4">
        <v>7967.18</v>
      </c>
      <c r="P913" s="3">
        <v>7.6536321221264206E-2</v>
      </c>
    </row>
    <row r="914" spans="1:16" x14ac:dyDescent="0.3">
      <c r="A914">
        <v>1018</v>
      </c>
      <c r="B914" s="2">
        <v>44952</v>
      </c>
      <c r="C914" s="1" t="s">
        <v>26</v>
      </c>
      <c r="D914" s="1" t="s">
        <v>13</v>
      </c>
      <c r="E914" s="1" t="s">
        <v>14</v>
      </c>
      <c r="F914" s="1" t="s">
        <v>20</v>
      </c>
      <c r="G914" s="1" t="s">
        <v>16</v>
      </c>
      <c r="H914" s="1" t="s">
        <v>29</v>
      </c>
      <c r="I914" s="4">
        <v>2414.8200000000002</v>
      </c>
      <c r="J914" s="4">
        <v>2519.0700000000002</v>
      </c>
      <c r="K914">
        <v>11</v>
      </c>
      <c r="L914" s="3">
        <v>0</v>
      </c>
      <c r="M914" s="4">
        <v>26563.02</v>
      </c>
      <c r="N914" s="4">
        <v>27709.77</v>
      </c>
      <c r="O914" s="4">
        <v>1146.75</v>
      </c>
      <c r="P914" s="3">
        <v>4.1384320403958598E-2</v>
      </c>
    </row>
    <row r="915" spans="1:16" x14ac:dyDescent="0.3">
      <c r="A915">
        <v>1023</v>
      </c>
      <c r="B915" s="2">
        <v>44952</v>
      </c>
      <c r="C915" s="1" t="s">
        <v>18</v>
      </c>
      <c r="D915" s="1" t="s">
        <v>30</v>
      </c>
      <c r="E915" s="1" t="s">
        <v>14</v>
      </c>
      <c r="F915" s="1" t="s">
        <v>15</v>
      </c>
      <c r="G915" s="1" t="s">
        <v>21</v>
      </c>
      <c r="H915" s="1" t="s">
        <v>17</v>
      </c>
      <c r="I915" s="4">
        <v>1991.72</v>
      </c>
      <c r="J915" s="4">
        <v>2329.37</v>
      </c>
      <c r="K915">
        <v>36</v>
      </c>
      <c r="L915" s="3">
        <v>0.28000000000000003</v>
      </c>
      <c r="M915" s="4">
        <v>71701.919999999998</v>
      </c>
      <c r="N915" s="4">
        <v>83847.240000000005</v>
      </c>
      <c r="O915" s="4">
        <v>12145.32</v>
      </c>
      <c r="P915" s="3">
        <v>0.14485056395416199</v>
      </c>
    </row>
    <row r="916" spans="1:16" x14ac:dyDescent="0.3">
      <c r="A916">
        <v>1026</v>
      </c>
      <c r="B916" s="2">
        <v>44952</v>
      </c>
      <c r="C916" s="1" t="s">
        <v>18</v>
      </c>
      <c r="D916" s="1" t="s">
        <v>13</v>
      </c>
      <c r="E916" s="1" t="s">
        <v>22</v>
      </c>
      <c r="F916" s="1" t="s">
        <v>20</v>
      </c>
      <c r="G916" s="1" t="s">
        <v>21</v>
      </c>
      <c r="H916" s="1" t="s">
        <v>17</v>
      </c>
      <c r="I916" s="4">
        <v>4093.61</v>
      </c>
      <c r="J916" s="4">
        <v>4117.88</v>
      </c>
      <c r="K916">
        <v>5</v>
      </c>
      <c r="L916" s="3">
        <v>0.12</v>
      </c>
      <c r="M916" s="4">
        <v>20468.05</v>
      </c>
      <c r="N916" s="4">
        <v>20588.8</v>
      </c>
      <c r="O916" s="4">
        <v>120.75</v>
      </c>
      <c r="P916" s="3">
        <v>5.86483913584085E-3</v>
      </c>
    </row>
    <row r="917" spans="1:16" x14ac:dyDescent="0.3">
      <c r="A917">
        <v>1011</v>
      </c>
      <c r="B917" s="2">
        <v>44951</v>
      </c>
      <c r="C917" s="1" t="s">
        <v>12</v>
      </c>
      <c r="D917" s="1" t="s">
        <v>30</v>
      </c>
      <c r="E917" s="1" t="s">
        <v>28</v>
      </c>
      <c r="F917" s="1" t="s">
        <v>20</v>
      </c>
      <c r="G917" s="1" t="s">
        <v>16</v>
      </c>
      <c r="H917" s="1" t="s">
        <v>17</v>
      </c>
      <c r="I917" s="4">
        <v>1324.52</v>
      </c>
      <c r="J917" s="4">
        <v>1510.3</v>
      </c>
      <c r="K917">
        <v>22</v>
      </c>
      <c r="L917" s="3">
        <v>0.15</v>
      </c>
      <c r="M917" s="4">
        <v>29139.439999999999</v>
      </c>
      <c r="N917" s="4">
        <v>33223.300000000003</v>
      </c>
      <c r="O917" s="4">
        <v>4083.86</v>
      </c>
      <c r="P917" s="3">
        <v>0.122921564083038</v>
      </c>
    </row>
    <row r="918" spans="1:16" x14ac:dyDescent="0.3">
      <c r="A918">
        <v>1048</v>
      </c>
      <c r="B918" s="2">
        <v>44951</v>
      </c>
      <c r="C918" s="1" t="s">
        <v>12</v>
      </c>
      <c r="D918" s="1" t="s">
        <v>27</v>
      </c>
      <c r="E918" s="1" t="s">
        <v>28</v>
      </c>
      <c r="F918" s="1" t="s">
        <v>15</v>
      </c>
      <c r="G918" s="1" t="s">
        <v>25</v>
      </c>
      <c r="H918" s="1" t="s">
        <v>29</v>
      </c>
      <c r="I918" s="4">
        <v>1655.43</v>
      </c>
      <c r="J918" s="4">
        <v>2001.08</v>
      </c>
      <c r="K918">
        <v>7</v>
      </c>
      <c r="L918" s="3">
        <v>0.19</v>
      </c>
      <c r="M918" s="4">
        <v>11588.01</v>
      </c>
      <c r="N918" s="4">
        <v>14006.23</v>
      </c>
      <c r="O918" s="4">
        <v>2418.2199999999998</v>
      </c>
      <c r="P918" s="3">
        <v>0.172653169339644</v>
      </c>
    </row>
    <row r="919" spans="1:16" x14ac:dyDescent="0.3">
      <c r="A919">
        <v>1061</v>
      </c>
      <c r="B919" s="2">
        <v>44951</v>
      </c>
      <c r="C919" s="1" t="s">
        <v>23</v>
      </c>
      <c r="D919" s="1" t="s">
        <v>13</v>
      </c>
      <c r="E919" s="1" t="s">
        <v>24</v>
      </c>
      <c r="F919" s="1" t="s">
        <v>20</v>
      </c>
      <c r="G919" s="1" t="s">
        <v>25</v>
      </c>
      <c r="H919" s="1" t="s">
        <v>29</v>
      </c>
      <c r="I919" s="4">
        <v>4440.8599999999997</v>
      </c>
      <c r="J919" s="4">
        <v>4506.8100000000004</v>
      </c>
      <c r="K919">
        <v>38</v>
      </c>
      <c r="L919" s="3">
        <v>0.24</v>
      </c>
      <c r="M919" s="4">
        <v>168752.68</v>
      </c>
      <c r="N919" s="4">
        <v>171249.66</v>
      </c>
      <c r="O919" s="4">
        <v>2496.98</v>
      </c>
      <c r="P919" s="3">
        <v>1.45809340584968E-2</v>
      </c>
    </row>
    <row r="920" spans="1:16" x14ac:dyDescent="0.3">
      <c r="A920">
        <v>1083</v>
      </c>
      <c r="B920" s="2">
        <v>44951</v>
      </c>
      <c r="C920" s="1" t="s">
        <v>18</v>
      </c>
      <c r="D920" s="1" t="s">
        <v>13</v>
      </c>
      <c r="E920" s="1" t="s">
        <v>14</v>
      </c>
      <c r="F920" s="1" t="s">
        <v>15</v>
      </c>
      <c r="G920" s="1" t="s">
        <v>25</v>
      </c>
      <c r="H920" s="1" t="s">
        <v>29</v>
      </c>
      <c r="I920" s="4">
        <v>1167.9100000000001</v>
      </c>
      <c r="J920" s="4">
        <v>1547.26</v>
      </c>
      <c r="K920">
        <v>34</v>
      </c>
      <c r="L920" s="3">
        <v>0.11</v>
      </c>
      <c r="M920" s="4">
        <v>39708.94</v>
      </c>
      <c r="N920" s="4">
        <v>52603.1</v>
      </c>
      <c r="O920" s="4">
        <v>12894.16</v>
      </c>
      <c r="P920" s="3">
        <v>0.245121675338526</v>
      </c>
    </row>
    <row r="921" spans="1:16" x14ac:dyDescent="0.3">
      <c r="A921">
        <v>1090</v>
      </c>
      <c r="B921" s="2">
        <v>44951</v>
      </c>
      <c r="C921" s="1" t="s">
        <v>31</v>
      </c>
      <c r="D921" s="1" t="s">
        <v>27</v>
      </c>
      <c r="E921" s="1" t="s">
        <v>14</v>
      </c>
      <c r="F921" s="1" t="s">
        <v>15</v>
      </c>
      <c r="G921" s="1" t="s">
        <v>21</v>
      </c>
      <c r="H921" s="1" t="s">
        <v>17</v>
      </c>
      <c r="I921" s="4">
        <v>4190.26</v>
      </c>
      <c r="J921" s="4">
        <v>4645.3500000000004</v>
      </c>
      <c r="K921">
        <v>17</v>
      </c>
      <c r="L921" s="3">
        <v>0.12</v>
      </c>
      <c r="M921" s="4">
        <v>71234.42</v>
      </c>
      <c r="N921" s="4">
        <v>78968.91</v>
      </c>
      <c r="O921" s="4">
        <v>7734.49</v>
      </c>
      <c r="P921" s="3">
        <v>9.7943481808220503E-2</v>
      </c>
    </row>
    <row r="922" spans="1:16" x14ac:dyDescent="0.3">
      <c r="A922">
        <v>1096</v>
      </c>
      <c r="B922" s="2">
        <v>44951</v>
      </c>
      <c r="C922" s="1" t="s">
        <v>31</v>
      </c>
      <c r="D922" s="1" t="s">
        <v>19</v>
      </c>
      <c r="E922" s="1" t="s">
        <v>14</v>
      </c>
      <c r="F922" s="1" t="s">
        <v>15</v>
      </c>
      <c r="G922" s="1" t="s">
        <v>16</v>
      </c>
      <c r="H922" s="1" t="s">
        <v>29</v>
      </c>
      <c r="I922" s="4">
        <v>4809</v>
      </c>
      <c r="J922" s="4">
        <v>4967.4399999999996</v>
      </c>
      <c r="K922">
        <v>27</v>
      </c>
      <c r="L922" s="3">
        <v>0.12</v>
      </c>
      <c r="M922" s="4">
        <v>129843</v>
      </c>
      <c r="N922" s="4">
        <v>134117.64000000001</v>
      </c>
      <c r="O922" s="4">
        <v>4274.6400000000003</v>
      </c>
      <c r="P922" s="3">
        <v>3.1872317466964097E-2</v>
      </c>
    </row>
    <row r="923" spans="1:16" x14ac:dyDescent="0.3">
      <c r="A923">
        <v>1017</v>
      </c>
      <c r="B923" s="2">
        <v>44950</v>
      </c>
      <c r="C923" s="1" t="s">
        <v>12</v>
      </c>
      <c r="D923" s="1" t="s">
        <v>30</v>
      </c>
      <c r="E923" s="1" t="s">
        <v>28</v>
      </c>
      <c r="F923" s="1" t="s">
        <v>20</v>
      </c>
      <c r="G923" s="1" t="s">
        <v>21</v>
      </c>
      <c r="H923" s="1" t="s">
        <v>29</v>
      </c>
      <c r="I923" s="4">
        <v>927.89</v>
      </c>
      <c r="J923" s="4">
        <v>1399.09</v>
      </c>
      <c r="K923">
        <v>27</v>
      </c>
      <c r="L923" s="3">
        <v>0.27</v>
      </c>
      <c r="M923" s="4">
        <v>25053.03</v>
      </c>
      <c r="N923" s="4">
        <v>37768.14</v>
      </c>
      <c r="O923" s="4">
        <v>12715.11</v>
      </c>
      <c r="P923" s="3">
        <v>0.33666232967787102</v>
      </c>
    </row>
    <row r="924" spans="1:16" x14ac:dyDescent="0.3">
      <c r="A924">
        <v>1054</v>
      </c>
      <c r="B924" s="2">
        <v>44950</v>
      </c>
      <c r="C924" s="1" t="s">
        <v>23</v>
      </c>
      <c r="D924" s="1" t="s">
        <v>13</v>
      </c>
      <c r="E924" s="1" t="s">
        <v>28</v>
      </c>
      <c r="F924" s="1" t="s">
        <v>20</v>
      </c>
      <c r="G924" s="1" t="s">
        <v>16</v>
      </c>
      <c r="H924" s="1" t="s">
        <v>29</v>
      </c>
      <c r="I924" s="4">
        <v>4200.08</v>
      </c>
      <c r="J924" s="4">
        <v>4647.28</v>
      </c>
      <c r="K924">
        <v>22</v>
      </c>
      <c r="L924" s="3">
        <v>0.11</v>
      </c>
      <c r="M924" s="4">
        <v>92401.76</v>
      </c>
      <c r="N924" s="4">
        <v>102237.74</v>
      </c>
      <c r="O924" s="4">
        <v>9835.98</v>
      </c>
      <c r="P924" s="3">
        <v>9.6206938846652906E-2</v>
      </c>
    </row>
    <row r="925" spans="1:16" x14ac:dyDescent="0.3">
      <c r="A925">
        <v>1018</v>
      </c>
      <c r="B925" s="2">
        <v>44949</v>
      </c>
      <c r="C925" s="1" t="s">
        <v>18</v>
      </c>
      <c r="D925" s="1" t="s">
        <v>30</v>
      </c>
      <c r="E925" s="1" t="s">
        <v>24</v>
      </c>
      <c r="F925" s="1" t="s">
        <v>20</v>
      </c>
      <c r="G925" s="1" t="s">
        <v>25</v>
      </c>
      <c r="H925" s="1" t="s">
        <v>29</v>
      </c>
      <c r="I925" s="4">
        <v>1140.6199999999999</v>
      </c>
      <c r="J925" s="4">
        <v>1258.6300000000001</v>
      </c>
      <c r="K925">
        <v>20</v>
      </c>
      <c r="L925" s="3">
        <v>0.26</v>
      </c>
      <c r="M925" s="4">
        <v>22812.400000000001</v>
      </c>
      <c r="N925" s="4">
        <v>25167.4</v>
      </c>
      <c r="O925" s="4">
        <v>2355</v>
      </c>
      <c r="P925" s="3">
        <v>9.3573432297337E-2</v>
      </c>
    </row>
    <row r="926" spans="1:16" x14ac:dyDescent="0.3">
      <c r="A926">
        <v>1037</v>
      </c>
      <c r="B926" s="2">
        <v>44949</v>
      </c>
      <c r="C926" s="1" t="s">
        <v>31</v>
      </c>
      <c r="D926" s="1" t="s">
        <v>13</v>
      </c>
      <c r="E926" s="1" t="s">
        <v>22</v>
      </c>
      <c r="F926" s="1" t="s">
        <v>20</v>
      </c>
      <c r="G926" s="1" t="s">
        <v>21</v>
      </c>
      <c r="H926" s="1" t="s">
        <v>17</v>
      </c>
      <c r="I926" s="4">
        <v>1074.6199999999999</v>
      </c>
      <c r="J926" s="4">
        <v>1382.43</v>
      </c>
      <c r="K926">
        <v>25</v>
      </c>
      <c r="L926" s="3">
        <v>0.24</v>
      </c>
      <c r="M926" s="4">
        <v>26865.5</v>
      </c>
      <c r="N926" s="4">
        <v>34554.75</v>
      </c>
      <c r="O926" s="4">
        <v>7689.25</v>
      </c>
      <c r="P926" s="3">
        <v>0.222523676195024</v>
      </c>
    </row>
    <row r="927" spans="1:16" x14ac:dyDescent="0.3">
      <c r="A927">
        <v>1037</v>
      </c>
      <c r="B927" s="2">
        <v>44949</v>
      </c>
      <c r="C927" s="1" t="s">
        <v>23</v>
      </c>
      <c r="D927" s="1" t="s">
        <v>30</v>
      </c>
      <c r="E927" s="1" t="s">
        <v>14</v>
      </c>
      <c r="F927" s="1" t="s">
        <v>20</v>
      </c>
      <c r="G927" s="1" t="s">
        <v>25</v>
      </c>
      <c r="H927" s="1" t="s">
        <v>29</v>
      </c>
      <c r="I927" s="4">
        <v>2790.11</v>
      </c>
      <c r="J927" s="4">
        <v>3192.37</v>
      </c>
      <c r="K927">
        <v>40</v>
      </c>
      <c r="L927" s="3">
        <v>0.26</v>
      </c>
      <c r="M927" s="4">
        <v>111604.4</v>
      </c>
      <c r="N927" s="4">
        <v>127684.4</v>
      </c>
      <c r="O927" s="4">
        <v>16080</v>
      </c>
      <c r="P927" s="3">
        <v>0.12593550974120599</v>
      </c>
    </row>
    <row r="928" spans="1:16" x14ac:dyDescent="0.3">
      <c r="A928">
        <v>1006</v>
      </c>
      <c r="B928" s="2">
        <v>44948</v>
      </c>
      <c r="C928" s="1" t="s">
        <v>26</v>
      </c>
      <c r="D928" s="1" t="s">
        <v>27</v>
      </c>
      <c r="E928" s="1" t="s">
        <v>28</v>
      </c>
      <c r="F928" s="1" t="s">
        <v>15</v>
      </c>
      <c r="G928" s="1" t="s">
        <v>25</v>
      </c>
      <c r="H928" s="1" t="s">
        <v>29</v>
      </c>
      <c r="I928" s="4">
        <v>4353.29</v>
      </c>
      <c r="J928" s="4">
        <v>4405.8</v>
      </c>
      <c r="K928">
        <v>29</v>
      </c>
      <c r="L928" s="3">
        <v>0.04</v>
      </c>
      <c r="M928" s="4">
        <v>126245.41</v>
      </c>
      <c r="N928" s="4">
        <v>127767.03999999999</v>
      </c>
      <c r="O928" s="4">
        <v>1521.63</v>
      </c>
      <c r="P928" s="3">
        <v>1.1909409500290499E-2</v>
      </c>
    </row>
    <row r="929" spans="1:16" x14ac:dyDescent="0.3">
      <c r="A929">
        <v>1035</v>
      </c>
      <c r="B929" s="2">
        <v>44948</v>
      </c>
      <c r="C929" s="1" t="s">
        <v>26</v>
      </c>
      <c r="D929" s="1" t="s">
        <v>30</v>
      </c>
      <c r="E929" s="1" t="s">
        <v>24</v>
      </c>
      <c r="F929" s="1" t="s">
        <v>15</v>
      </c>
      <c r="G929" s="1" t="s">
        <v>21</v>
      </c>
      <c r="H929" s="1" t="s">
        <v>17</v>
      </c>
      <c r="I929" s="4">
        <v>3771.38</v>
      </c>
      <c r="J929" s="4">
        <v>4234.92</v>
      </c>
      <c r="K929">
        <v>28</v>
      </c>
      <c r="L929" s="3">
        <v>0.28000000000000003</v>
      </c>
      <c r="M929" s="4">
        <v>105598.64</v>
      </c>
      <c r="N929" s="4">
        <v>118569.92</v>
      </c>
      <c r="O929" s="4">
        <v>12971.28</v>
      </c>
      <c r="P929" s="3">
        <v>0.109397729204844</v>
      </c>
    </row>
    <row r="930" spans="1:16" x14ac:dyDescent="0.3">
      <c r="A930">
        <v>1045</v>
      </c>
      <c r="B930" s="2">
        <v>44948</v>
      </c>
      <c r="C930" s="1" t="s">
        <v>23</v>
      </c>
      <c r="D930" s="1" t="s">
        <v>13</v>
      </c>
      <c r="E930" s="1" t="s">
        <v>22</v>
      </c>
      <c r="F930" s="1" t="s">
        <v>20</v>
      </c>
      <c r="G930" s="1" t="s">
        <v>16</v>
      </c>
      <c r="H930" s="1" t="s">
        <v>29</v>
      </c>
      <c r="I930" s="4">
        <v>2577.08</v>
      </c>
      <c r="J930" s="4">
        <v>2961.56</v>
      </c>
      <c r="K930">
        <v>46</v>
      </c>
      <c r="L930" s="3">
        <v>0.1</v>
      </c>
      <c r="M930" s="4">
        <v>118545.68</v>
      </c>
      <c r="N930" s="4">
        <v>136227.16</v>
      </c>
      <c r="O930" s="4">
        <v>17681.48</v>
      </c>
      <c r="P930" s="3">
        <v>0.12979408805116399</v>
      </c>
    </row>
    <row r="931" spans="1:16" x14ac:dyDescent="0.3">
      <c r="A931">
        <v>1003</v>
      </c>
      <c r="B931" s="2">
        <v>44947</v>
      </c>
      <c r="C931" s="1" t="s">
        <v>31</v>
      </c>
      <c r="D931" s="1" t="s">
        <v>30</v>
      </c>
      <c r="E931" s="1" t="s">
        <v>24</v>
      </c>
      <c r="F931" s="1" t="s">
        <v>20</v>
      </c>
      <c r="G931" s="1" t="s">
        <v>16</v>
      </c>
      <c r="H931" s="1" t="s">
        <v>17</v>
      </c>
      <c r="I931" s="4">
        <v>1792.05</v>
      </c>
      <c r="J931" s="4">
        <v>2091.23</v>
      </c>
      <c r="K931">
        <v>3</v>
      </c>
      <c r="L931" s="3">
        <v>0.09</v>
      </c>
      <c r="M931" s="4">
        <v>5376.15</v>
      </c>
      <c r="N931" s="4">
        <v>6273.42</v>
      </c>
      <c r="O931" s="4">
        <v>897.27</v>
      </c>
      <c r="P931" s="3">
        <v>0.14302724829518801</v>
      </c>
    </row>
    <row r="932" spans="1:16" x14ac:dyDescent="0.3">
      <c r="A932">
        <v>1017</v>
      </c>
      <c r="B932" s="2">
        <v>44946</v>
      </c>
      <c r="C932" s="1" t="s">
        <v>23</v>
      </c>
      <c r="D932" s="1" t="s">
        <v>13</v>
      </c>
      <c r="E932" s="1" t="s">
        <v>14</v>
      </c>
      <c r="F932" s="1" t="s">
        <v>15</v>
      </c>
      <c r="G932" s="1" t="s">
        <v>25</v>
      </c>
      <c r="H932" s="1" t="s">
        <v>17</v>
      </c>
      <c r="I932" s="4">
        <v>3410.49</v>
      </c>
      <c r="J932" s="4">
        <v>3481.72</v>
      </c>
      <c r="K932">
        <v>29</v>
      </c>
      <c r="L932" s="3">
        <v>0.24</v>
      </c>
      <c r="M932" s="4">
        <v>98904.21</v>
      </c>
      <c r="N932" s="4">
        <v>100962.92</v>
      </c>
      <c r="O932" s="4">
        <v>2058.71</v>
      </c>
      <c r="P932" s="3">
        <v>2.03907533577674E-2</v>
      </c>
    </row>
    <row r="933" spans="1:16" x14ac:dyDescent="0.3">
      <c r="A933">
        <v>1046</v>
      </c>
      <c r="B933" s="2">
        <v>44946</v>
      </c>
      <c r="C933" s="1" t="s">
        <v>12</v>
      </c>
      <c r="D933" s="1" t="s">
        <v>13</v>
      </c>
      <c r="E933" s="1" t="s">
        <v>14</v>
      </c>
      <c r="F933" s="1" t="s">
        <v>15</v>
      </c>
      <c r="G933" s="1" t="s">
        <v>25</v>
      </c>
      <c r="H933" s="1" t="s">
        <v>17</v>
      </c>
      <c r="I933" s="4">
        <v>4052.42</v>
      </c>
      <c r="J933" s="4">
        <v>4199.3</v>
      </c>
      <c r="K933">
        <v>43</v>
      </c>
      <c r="L933" s="3">
        <v>0.1</v>
      </c>
      <c r="M933" s="4">
        <v>174254.06</v>
      </c>
      <c r="N933" s="4">
        <v>180565.6</v>
      </c>
      <c r="O933" s="4">
        <v>6311.54</v>
      </c>
      <c r="P933" s="3">
        <v>3.4954277005143801E-2</v>
      </c>
    </row>
    <row r="934" spans="1:16" x14ac:dyDescent="0.3">
      <c r="A934">
        <v>1053</v>
      </c>
      <c r="B934" s="2">
        <v>44946</v>
      </c>
      <c r="C934" s="1" t="s">
        <v>18</v>
      </c>
      <c r="D934" s="1" t="s">
        <v>19</v>
      </c>
      <c r="E934" s="1" t="s">
        <v>24</v>
      </c>
      <c r="F934" s="1" t="s">
        <v>15</v>
      </c>
      <c r="G934" s="1" t="s">
        <v>16</v>
      </c>
      <c r="H934" s="1" t="s">
        <v>29</v>
      </c>
      <c r="I934" s="4">
        <v>2443.5700000000002</v>
      </c>
      <c r="J934" s="4">
        <v>2943.31</v>
      </c>
      <c r="K934">
        <v>42</v>
      </c>
      <c r="L934" s="3">
        <v>0.28999999999999998</v>
      </c>
      <c r="M934" s="4">
        <v>102629.94</v>
      </c>
      <c r="N934" s="4">
        <v>123606.84</v>
      </c>
      <c r="O934" s="4">
        <v>20976.9</v>
      </c>
      <c r="P934" s="3">
        <v>0.169706627885641</v>
      </c>
    </row>
    <row r="935" spans="1:16" x14ac:dyDescent="0.3">
      <c r="A935">
        <v>1092</v>
      </c>
      <c r="B935" s="2">
        <v>44946</v>
      </c>
      <c r="C935" s="1" t="s">
        <v>31</v>
      </c>
      <c r="D935" s="1" t="s">
        <v>13</v>
      </c>
      <c r="E935" s="1" t="s">
        <v>28</v>
      </c>
      <c r="F935" s="1" t="s">
        <v>15</v>
      </c>
      <c r="G935" s="1" t="s">
        <v>25</v>
      </c>
      <c r="H935" s="1" t="s">
        <v>17</v>
      </c>
      <c r="I935" s="4">
        <v>4624.16</v>
      </c>
      <c r="J935" s="4">
        <v>4731.9799999999996</v>
      </c>
      <c r="K935">
        <v>40</v>
      </c>
      <c r="L935" s="3">
        <v>0.2</v>
      </c>
      <c r="M935" s="4">
        <v>184966.39999999999</v>
      </c>
      <c r="N935" s="4">
        <v>189271.2</v>
      </c>
      <c r="O935" s="4">
        <v>4304.8</v>
      </c>
      <c r="P935" s="3">
        <v>2.2744083621808301E-2</v>
      </c>
    </row>
    <row r="936" spans="1:16" x14ac:dyDescent="0.3">
      <c r="A936">
        <v>1048</v>
      </c>
      <c r="B936" s="2">
        <v>44945</v>
      </c>
      <c r="C936" s="1" t="s">
        <v>23</v>
      </c>
      <c r="D936" s="1" t="s">
        <v>19</v>
      </c>
      <c r="E936" s="1" t="s">
        <v>14</v>
      </c>
      <c r="F936" s="1" t="s">
        <v>20</v>
      </c>
      <c r="G936" s="1" t="s">
        <v>21</v>
      </c>
      <c r="H936" s="1" t="s">
        <v>17</v>
      </c>
      <c r="I936" s="4">
        <v>4310.95</v>
      </c>
      <c r="J936" s="4">
        <v>4723.2</v>
      </c>
      <c r="K936">
        <v>7</v>
      </c>
      <c r="L936" s="3">
        <v>0.05</v>
      </c>
      <c r="M936" s="4">
        <v>30176.65</v>
      </c>
      <c r="N936" s="4">
        <v>33062.050000000003</v>
      </c>
      <c r="O936" s="4">
        <v>2885.4</v>
      </c>
      <c r="P936" s="3">
        <v>8.7272265331399604E-2</v>
      </c>
    </row>
    <row r="937" spans="1:16" x14ac:dyDescent="0.3">
      <c r="A937">
        <v>1080</v>
      </c>
      <c r="B937" s="2">
        <v>44944</v>
      </c>
      <c r="C937" s="1" t="s">
        <v>31</v>
      </c>
      <c r="D937" s="1" t="s">
        <v>13</v>
      </c>
      <c r="E937" s="1" t="s">
        <v>28</v>
      </c>
      <c r="F937" s="1" t="s">
        <v>15</v>
      </c>
      <c r="G937" s="1" t="s">
        <v>21</v>
      </c>
      <c r="H937" s="1" t="s">
        <v>29</v>
      </c>
      <c r="I937" s="4">
        <v>1763.67</v>
      </c>
      <c r="J937" s="4">
        <v>1983.82</v>
      </c>
      <c r="K937">
        <v>44</v>
      </c>
      <c r="L937" s="3">
        <v>0.24</v>
      </c>
      <c r="M937" s="4">
        <v>77601.48</v>
      </c>
      <c r="N937" s="4">
        <v>87277.52</v>
      </c>
      <c r="O937" s="4">
        <v>9676.0400000000009</v>
      </c>
      <c r="P937" s="3">
        <v>0.110865203319251</v>
      </c>
    </row>
    <row r="938" spans="1:16" x14ac:dyDescent="0.3">
      <c r="A938">
        <v>1009</v>
      </c>
      <c r="B938" s="2">
        <v>44943</v>
      </c>
      <c r="C938" s="1" t="s">
        <v>18</v>
      </c>
      <c r="D938" s="1" t="s">
        <v>19</v>
      </c>
      <c r="E938" s="1" t="s">
        <v>24</v>
      </c>
      <c r="F938" s="1" t="s">
        <v>15</v>
      </c>
      <c r="G938" s="1" t="s">
        <v>16</v>
      </c>
      <c r="H938" s="1" t="s">
        <v>17</v>
      </c>
      <c r="I938" s="4">
        <v>2278.67</v>
      </c>
      <c r="J938" s="4">
        <v>2476.8000000000002</v>
      </c>
      <c r="K938">
        <v>12</v>
      </c>
      <c r="L938" s="3">
        <v>0.09</v>
      </c>
      <c r="M938" s="4">
        <v>27344.04</v>
      </c>
      <c r="N938" s="4">
        <v>29720.52</v>
      </c>
      <c r="O938" s="4">
        <v>2376.48</v>
      </c>
      <c r="P938" s="3">
        <v>7.9960915892454104E-2</v>
      </c>
    </row>
    <row r="939" spans="1:16" x14ac:dyDescent="0.3">
      <c r="A939">
        <v>1016</v>
      </c>
      <c r="B939" s="2">
        <v>44943</v>
      </c>
      <c r="C939" s="1" t="s">
        <v>12</v>
      </c>
      <c r="D939" s="1" t="s">
        <v>19</v>
      </c>
      <c r="E939" s="1" t="s">
        <v>28</v>
      </c>
      <c r="F939" s="1" t="s">
        <v>15</v>
      </c>
      <c r="G939" s="1" t="s">
        <v>25</v>
      </c>
      <c r="H939" s="1" t="s">
        <v>17</v>
      </c>
      <c r="I939" s="4">
        <v>2863.74</v>
      </c>
      <c r="J939" s="4">
        <v>2953.91</v>
      </c>
      <c r="K939">
        <v>21</v>
      </c>
      <c r="L939" s="3">
        <v>0.1</v>
      </c>
      <c r="M939" s="4">
        <v>60138.54</v>
      </c>
      <c r="N939" s="4">
        <v>62030.01</v>
      </c>
      <c r="O939" s="4">
        <v>1891.47</v>
      </c>
      <c r="P939" s="3">
        <v>3.0492821136091999E-2</v>
      </c>
    </row>
    <row r="940" spans="1:16" x14ac:dyDescent="0.3">
      <c r="A940">
        <v>1029</v>
      </c>
      <c r="B940" s="2">
        <v>44943</v>
      </c>
      <c r="C940" s="1" t="s">
        <v>31</v>
      </c>
      <c r="D940" s="1" t="s">
        <v>30</v>
      </c>
      <c r="E940" s="1" t="s">
        <v>28</v>
      </c>
      <c r="F940" s="1" t="s">
        <v>20</v>
      </c>
      <c r="G940" s="1" t="s">
        <v>25</v>
      </c>
      <c r="H940" s="1" t="s">
        <v>17</v>
      </c>
      <c r="I940" s="4">
        <v>2719</v>
      </c>
      <c r="J940" s="4">
        <v>3133.55</v>
      </c>
      <c r="K940">
        <v>31</v>
      </c>
      <c r="L940" s="3">
        <v>0.17</v>
      </c>
      <c r="M940" s="4">
        <v>84289</v>
      </c>
      <c r="N940" s="4">
        <v>97134.78</v>
      </c>
      <c r="O940" s="4">
        <v>12845.78</v>
      </c>
      <c r="P940" s="3">
        <v>0.13224696653454099</v>
      </c>
    </row>
    <row r="941" spans="1:16" x14ac:dyDescent="0.3">
      <c r="A941">
        <v>1060</v>
      </c>
      <c r="B941" s="2">
        <v>44943</v>
      </c>
      <c r="C941" s="1" t="s">
        <v>23</v>
      </c>
      <c r="D941" s="1" t="s">
        <v>27</v>
      </c>
      <c r="E941" s="1" t="s">
        <v>28</v>
      </c>
      <c r="F941" s="1" t="s">
        <v>15</v>
      </c>
      <c r="G941" s="1" t="s">
        <v>21</v>
      </c>
      <c r="H941" s="1" t="s">
        <v>17</v>
      </c>
      <c r="I941" s="4">
        <v>1190.4100000000001</v>
      </c>
      <c r="J941" s="4">
        <v>1582.89</v>
      </c>
      <c r="K941">
        <v>3</v>
      </c>
      <c r="L941" s="3">
        <v>0.02</v>
      </c>
      <c r="M941" s="4">
        <v>3571.23</v>
      </c>
      <c r="N941" s="4">
        <v>4748.6099999999997</v>
      </c>
      <c r="O941" s="4">
        <v>1177.3800000000001</v>
      </c>
      <c r="P941" s="3">
        <v>0.247942029351747</v>
      </c>
    </row>
    <row r="942" spans="1:16" x14ac:dyDescent="0.3">
      <c r="A942">
        <v>1076</v>
      </c>
      <c r="B942" s="2">
        <v>44943</v>
      </c>
      <c r="C942" s="1" t="s">
        <v>31</v>
      </c>
      <c r="D942" s="1" t="s">
        <v>27</v>
      </c>
      <c r="E942" s="1" t="s">
        <v>14</v>
      </c>
      <c r="F942" s="1" t="s">
        <v>20</v>
      </c>
      <c r="G942" s="1" t="s">
        <v>25</v>
      </c>
      <c r="H942" s="1" t="s">
        <v>29</v>
      </c>
      <c r="I942" s="4">
        <v>1964.15</v>
      </c>
      <c r="J942" s="4">
        <v>2211.17</v>
      </c>
      <c r="K942">
        <v>16</v>
      </c>
      <c r="L942" s="3">
        <v>0.21</v>
      </c>
      <c r="M942" s="4">
        <v>31426.400000000001</v>
      </c>
      <c r="N942" s="4">
        <v>35375.360000000001</v>
      </c>
      <c r="O942" s="4">
        <v>3948.96</v>
      </c>
      <c r="P942" s="3">
        <v>0.111630242066795</v>
      </c>
    </row>
    <row r="943" spans="1:16" x14ac:dyDescent="0.3">
      <c r="A943">
        <v>1080</v>
      </c>
      <c r="B943" s="2">
        <v>44943</v>
      </c>
      <c r="C943" s="1" t="s">
        <v>23</v>
      </c>
      <c r="D943" s="1" t="s">
        <v>27</v>
      </c>
      <c r="E943" s="1" t="s">
        <v>24</v>
      </c>
      <c r="F943" s="1" t="s">
        <v>20</v>
      </c>
      <c r="G943" s="1" t="s">
        <v>25</v>
      </c>
      <c r="H943" s="1" t="s">
        <v>29</v>
      </c>
      <c r="I943" s="4">
        <v>4035.33</v>
      </c>
      <c r="J943" s="4">
        <v>4211.25</v>
      </c>
      <c r="K943">
        <v>47</v>
      </c>
      <c r="L943" s="3">
        <v>7.0000000000000007E-2</v>
      </c>
      <c r="M943" s="4">
        <v>189660.51</v>
      </c>
      <c r="N943" s="4">
        <v>197925.46</v>
      </c>
      <c r="O943" s="4">
        <v>8264.9500000000007</v>
      </c>
      <c r="P943" s="3">
        <v>4.1757892087253501E-2</v>
      </c>
    </row>
    <row r="944" spans="1:16" x14ac:dyDescent="0.3">
      <c r="A944">
        <v>1013</v>
      </c>
      <c r="B944" s="2">
        <v>44942</v>
      </c>
      <c r="C944" s="1" t="s">
        <v>12</v>
      </c>
      <c r="D944" s="1" t="s">
        <v>13</v>
      </c>
      <c r="E944" s="1" t="s">
        <v>14</v>
      </c>
      <c r="F944" s="1" t="s">
        <v>20</v>
      </c>
      <c r="G944" s="1" t="s">
        <v>21</v>
      </c>
      <c r="H944" s="1" t="s">
        <v>17</v>
      </c>
      <c r="I944" s="4">
        <v>3356.62</v>
      </c>
      <c r="J944" s="4">
        <v>3759.01</v>
      </c>
      <c r="K944">
        <v>20</v>
      </c>
      <c r="L944" s="3">
        <v>0.05</v>
      </c>
      <c r="M944" s="4">
        <v>67132.399999999994</v>
      </c>
      <c r="N944" s="4">
        <v>75179.199999999997</v>
      </c>
      <c r="O944" s="4">
        <v>8046.8</v>
      </c>
      <c r="P944" s="3">
        <v>0.1070349245536</v>
      </c>
    </row>
    <row r="945" spans="1:16" x14ac:dyDescent="0.3">
      <c r="A945">
        <v>1034</v>
      </c>
      <c r="B945" s="2">
        <v>44942</v>
      </c>
      <c r="C945" s="1" t="s">
        <v>26</v>
      </c>
      <c r="D945" s="1" t="s">
        <v>30</v>
      </c>
      <c r="E945" s="1" t="s">
        <v>24</v>
      </c>
      <c r="F945" s="1" t="s">
        <v>15</v>
      </c>
      <c r="G945" s="1" t="s">
        <v>21</v>
      </c>
      <c r="H945" s="1" t="s">
        <v>17</v>
      </c>
      <c r="I945" s="4">
        <v>366.31</v>
      </c>
      <c r="J945" s="4">
        <v>492.68</v>
      </c>
      <c r="K945">
        <v>13</v>
      </c>
      <c r="L945" s="3">
        <v>0.12</v>
      </c>
      <c r="M945" s="4">
        <v>4762.03</v>
      </c>
      <c r="N945" s="4">
        <v>6403.28</v>
      </c>
      <c r="O945" s="4">
        <v>1641.25</v>
      </c>
      <c r="P945" s="3">
        <v>0.25631395159980502</v>
      </c>
    </row>
    <row r="946" spans="1:16" x14ac:dyDescent="0.3">
      <c r="A946">
        <v>1017</v>
      </c>
      <c r="B946" s="2">
        <v>44941</v>
      </c>
      <c r="C946" s="1" t="s">
        <v>12</v>
      </c>
      <c r="D946" s="1" t="s">
        <v>30</v>
      </c>
      <c r="E946" s="1" t="s">
        <v>24</v>
      </c>
      <c r="F946" s="1" t="s">
        <v>20</v>
      </c>
      <c r="G946" s="1" t="s">
        <v>25</v>
      </c>
      <c r="H946" s="1" t="s">
        <v>17</v>
      </c>
      <c r="I946" s="4">
        <v>2594.42</v>
      </c>
      <c r="J946" s="4">
        <v>3081.04</v>
      </c>
      <c r="K946">
        <v>6</v>
      </c>
      <c r="L946" s="3">
        <v>0.1</v>
      </c>
      <c r="M946" s="4">
        <v>15566.52</v>
      </c>
      <c r="N946" s="4">
        <v>18485.64</v>
      </c>
      <c r="O946" s="4">
        <v>2919.12</v>
      </c>
      <c r="P946" s="3">
        <v>0.15791284478113801</v>
      </c>
    </row>
    <row r="947" spans="1:16" x14ac:dyDescent="0.3">
      <c r="A947">
        <v>1027</v>
      </c>
      <c r="B947" s="2">
        <v>44941</v>
      </c>
      <c r="C947" s="1" t="s">
        <v>23</v>
      </c>
      <c r="D947" s="1" t="s">
        <v>19</v>
      </c>
      <c r="E947" s="1" t="s">
        <v>22</v>
      </c>
      <c r="F947" s="1" t="s">
        <v>20</v>
      </c>
      <c r="G947" s="1" t="s">
        <v>16</v>
      </c>
      <c r="H947" s="1" t="s">
        <v>17</v>
      </c>
      <c r="I947" s="4">
        <v>149.11000000000001</v>
      </c>
      <c r="J947" s="4">
        <v>477.67</v>
      </c>
      <c r="K947">
        <v>26</v>
      </c>
      <c r="L947" s="3">
        <v>0.14000000000000001</v>
      </c>
      <c r="M947" s="4">
        <v>3876.86</v>
      </c>
      <c r="N947" s="4">
        <v>12415.78</v>
      </c>
      <c r="O947" s="4">
        <v>8538.92</v>
      </c>
      <c r="P947" s="3">
        <v>0.68774736665759195</v>
      </c>
    </row>
    <row r="948" spans="1:16" x14ac:dyDescent="0.3">
      <c r="A948">
        <v>1040</v>
      </c>
      <c r="B948" s="2">
        <v>44941</v>
      </c>
      <c r="C948" s="1" t="s">
        <v>31</v>
      </c>
      <c r="D948" s="1" t="s">
        <v>30</v>
      </c>
      <c r="E948" s="1" t="s">
        <v>24</v>
      </c>
      <c r="F948" s="1" t="s">
        <v>20</v>
      </c>
      <c r="G948" s="1" t="s">
        <v>21</v>
      </c>
      <c r="H948" s="1" t="s">
        <v>29</v>
      </c>
      <c r="I948" s="4">
        <v>342.3</v>
      </c>
      <c r="J948" s="4">
        <v>768.06</v>
      </c>
      <c r="K948">
        <v>19</v>
      </c>
      <c r="L948" s="3">
        <v>0.09</v>
      </c>
      <c r="M948" s="4">
        <v>6503.7</v>
      </c>
      <c r="N948" s="4">
        <v>14591.43</v>
      </c>
      <c r="O948" s="4">
        <v>8087.73</v>
      </c>
      <c r="P948" s="3">
        <v>0.55427946404156403</v>
      </c>
    </row>
    <row r="949" spans="1:16" x14ac:dyDescent="0.3">
      <c r="A949">
        <v>1042</v>
      </c>
      <c r="B949" s="2">
        <v>44941</v>
      </c>
      <c r="C949" s="1" t="s">
        <v>18</v>
      </c>
      <c r="D949" s="1" t="s">
        <v>27</v>
      </c>
      <c r="E949" s="1" t="s">
        <v>24</v>
      </c>
      <c r="F949" s="1" t="s">
        <v>15</v>
      </c>
      <c r="G949" s="1" t="s">
        <v>16</v>
      </c>
      <c r="H949" s="1" t="s">
        <v>17</v>
      </c>
      <c r="I949" s="4">
        <v>2172.38</v>
      </c>
      <c r="J949" s="4">
        <v>2367.11</v>
      </c>
      <c r="K949">
        <v>46</v>
      </c>
      <c r="L949" s="3">
        <v>0.16</v>
      </c>
      <c r="M949" s="4">
        <v>99929.48</v>
      </c>
      <c r="N949" s="4">
        <v>108879.7</v>
      </c>
      <c r="O949" s="4">
        <v>8950.2199999999993</v>
      </c>
      <c r="P949" s="3">
        <v>8.22028348718815E-2</v>
      </c>
    </row>
    <row r="950" spans="1:16" x14ac:dyDescent="0.3">
      <c r="A950">
        <v>1094</v>
      </c>
      <c r="B950" s="2">
        <v>44941</v>
      </c>
      <c r="C950" s="1" t="s">
        <v>23</v>
      </c>
      <c r="D950" s="1" t="s">
        <v>30</v>
      </c>
      <c r="E950" s="1" t="s">
        <v>24</v>
      </c>
      <c r="F950" s="1" t="s">
        <v>20</v>
      </c>
      <c r="G950" s="1" t="s">
        <v>16</v>
      </c>
      <c r="H950" s="1" t="s">
        <v>17</v>
      </c>
      <c r="I950" s="4">
        <v>4470.91</v>
      </c>
      <c r="J950" s="4">
        <v>4695.54</v>
      </c>
      <c r="K950">
        <v>45</v>
      </c>
      <c r="L950" s="3">
        <v>0.06</v>
      </c>
      <c r="M950" s="4">
        <v>201190.95</v>
      </c>
      <c r="N950" s="4">
        <v>211296.6</v>
      </c>
      <c r="O950" s="4">
        <v>10105.65</v>
      </c>
      <c r="P950" s="3">
        <v>4.7826846243621497E-2</v>
      </c>
    </row>
    <row r="951" spans="1:16" x14ac:dyDescent="0.3">
      <c r="A951">
        <v>1024</v>
      </c>
      <c r="B951" s="2">
        <v>44940</v>
      </c>
      <c r="C951" s="1" t="s">
        <v>23</v>
      </c>
      <c r="D951" s="1" t="s">
        <v>27</v>
      </c>
      <c r="E951" s="1" t="s">
        <v>14</v>
      </c>
      <c r="F951" s="1" t="s">
        <v>15</v>
      </c>
      <c r="G951" s="1" t="s">
        <v>16</v>
      </c>
      <c r="H951" s="1" t="s">
        <v>17</v>
      </c>
      <c r="I951" s="4">
        <v>2693.99</v>
      </c>
      <c r="J951" s="4">
        <v>3045.94</v>
      </c>
      <c r="K951">
        <v>45</v>
      </c>
      <c r="L951" s="3">
        <v>0.01</v>
      </c>
      <c r="M951" s="4">
        <v>121229.55</v>
      </c>
      <c r="N951" s="4">
        <v>137066.85</v>
      </c>
      <c r="O951" s="4">
        <v>15837.3</v>
      </c>
      <c r="P951" s="3">
        <v>0.115544349344863</v>
      </c>
    </row>
    <row r="952" spans="1:16" x14ac:dyDescent="0.3">
      <c r="A952">
        <v>1033</v>
      </c>
      <c r="B952" s="2">
        <v>44940</v>
      </c>
      <c r="C952" s="1" t="s">
        <v>26</v>
      </c>
      <c r="D952" s="1" t="s">
        <v>19</v>
      </c>
      <c r="E952" s="1" t="s">
        <v>14</v>
      </c>
      <c r="F952" s="1" t="s">
        <v>15</v>
      </c>
      <c r="G952" s="1" t="s">
        <v>25</v>
      </c>
      <c r="H952" s="1" t="s">
        <v>29</v>
      </c>
      <c r="I952" s="4">
        <v>1345.67</v>
      </c>
      <c r="J952" s="4">
        <v>1367.76</v>
      </c>
      <c r="K952">
        <v>24</v>
      </c>
      <c r="L952" s="3">
        <v>0.06</v>
      </c>
      <c r="M952" s="4">
        <v>32296.080000000002</v>
      </c>
      <c r="N952" s="4">
        <v>32824.800000000003</v>
      </c>
      <c r="O952" s="4">
        <v>528.72</v>
      </c>
      <c r="P952" s="3">
        <v>1.6107333479564199E-2</v>
      </c>
    </row>
    <row r="953" spans="1:16" x14ac:dyDescent="0.3">
      <c r="A953">
        <v>1056</v>
      </c>
      <c r="B953" s="2">
        <v>44940</v>
      </c>
      <c r="C953" s="1" t="s">
        <v>31</v>
      </c>
      <c r="D953" s="1" t="s">
        <v>19</v>
      </c>
      <c r="E953" s="1" t="s">
        <v>22</v>
      </c>
      <c r="F953" s="1" t="s">
        <v>20</v>
      </c>
      <c r="G953" s="1" t="s">
        <v>16</v>
      </c>
      <c r="H953" s="1" t="s">
        <v>29</v>
      </c>
      <c r="I953" s="4">
        <v>2361.7399999999998</v>
      </c>
      <c r="J953" s="4">
        <v>2584.35</v>
      </c>
      <c r="K953">
        <v>25</v>
      </c>
      <c r="L953" s="3">
        <v>0.2</v>
      </c>
      <c r="M953" s="4">
        <v>59043.5</v>
      </c>
      <c r="N953" s="4">
        <v>64603.75</v>
      </c>
      <c r="O953" s="4">
        <v>5560.25</v>
      </c>
      <c r="P953" s="3">
        <v>8.6066985275622607E-2</v>
      </c>
    </row>
    <row r="954" spans="1:16" x14ac:dyDescent="0.3">
      <c r="A954">
        <v>1058</v>
      </c>
      <c r="B954" s="2">
        <v>44940</v>
      </c>
      <c r="C954" s="1" t="s">
        <v>23</v>
      </c>
      <c r="D954" s="1" t="s">
        <v>13</v>
      </c>
      <c r="E954" s="1" t="s">
        <v>22</v>
      </c>
      <c r="F954" s="1" t="s">
        <v>20</v>
      </c>
      <c r="G954" s="1" t="s">
        <v>16</v>
      </c>
      <c r="H954" s="1" t="s">
        <v>17</v>
      </c>
      <c r="I954" s="4">
        <v>4987.71</v>
      </c>
      <c r="J954" s="4">
        <v>4998.78</v>
      </c>
      <c r="K954">
        <v>6</v>
      </c>
      <c r="L954" s="3">
        <v>0.17</v>
      </c>
      <c r="M954" s="4">
        <v>29926.26</v>
      </c>
      <c r="N954" s="4">
        <v>29991.66</v>
      </c>
      <c r="O954" s="4">
        <v>65.400000000000006</v>
      </c>
      <c r="P954" s="3">
        <v>2.1806062085259698E-3</v>
      </c>
    </row>
    <row r="955" spans="1:16" x14ac:dyDescent="0.3">
      <c r="A955">
        <v>1012</v>
      </c>
      <c r="B955" s="2">
        <v>44939</v>
      </c>
      <c r="C955" s="1" t="s">
        <v>26</v>
      </c>
      <c r="D955" s="1" t="s">
        <v>13</v>
      </c>
      <c r="E955" s="1" t="s">
        <v>24</v>
      </c>
      <c r="F955" s="1" t="s">
        <v>15</v>
      </c>
      <c r="G955" s="1" t="s">
        <v>16</v>
      </c>
      <c r="H955" s="1" t="s">
        <v>29</v>
      </c>
      <c r="I955" s="4">
        <v>3126.52</v>
      </c>
      <c r="J955" s="4">
        <v>3465.79</v>
      </c>
      <c r="K955">
        <v>39</v>
      </c>
      <c r="L955" s="3">
        <v>0.08</v>
      </c>
      <c r="M955" s="4">
        <v>121934.28</v>
      </c>
      <c r="N955" s="4">
        <v>135162.69</v>
      </c>
      <c r="O955" s="4">
        <v>13228.41</v>
      </c>
      <c r="P955" s="3">
        <v>9.7870277663162794E-2</v>
      </c>
    </row>
    <row r="956" spans="1:16" x14ac:dyDescent="0.3">
      <c r="A956">
        <v>1090</v>
      </c>
      <c r="B956" s="2">
        <v>44939</v>
      </c>
      <c r="C956" s="1" t="s">
        <v>26</v>
      </c>
      <c r="D956" s="1" t="s">
        <v>13</v>
      </c>
      <c r="E956" s="1" t="s">
        <v>14</v>
      </c>
      <c r="F956" s="1" t="s">
        <v>20</v>
      </c>
      <c r="G956" s="1" t="s">
        <v>25</v>
      </c>
      <c r="H956" s="1" t="s">
        <v>17</v>
      </c>
      <c r="I956" s="4">
        <v>2382.98</v>
      </c>
      <c r="J956" s="4">
        <v>2839.73</v>
      </c>
      <c r="K956">
        <v>17</v>
      </c>
      <c r="L956" s="3">
        <v>0.23</v>
      </c>
      <c r="M956" s="4">
        <v>40510.660000000003</v>
      </c>
      <c r="N956" s="4">
        <v>48271.5</v>
      </c>
      <c r="O956" s="4">
        <v>7760.84</v>
      </c>
      <c r="P956" s="3">
        <v>0.16077478429300901</v>
      </c>
    </row>
    <row r="957" spans="1:16" x14ac:dyDescent="0.3">
      <c r="A957">
        <v>1013</v>
      </c>
      <c r="B957" s="2">
        <v>44938</v>
      </c>
      <c r="C957" s="1" t="s">
        <v>26</v>
      </c>
      <c r="D957" s="1" t="s">
        <v>19</v>
      </c>
      <c r="E957" s="1" t="s">
        <v>28</v>
      </c>
      <c r="F957" s="1" t="s">
        <v>20</v>
      </c>
      <c r="G957" s="1" t="s">
        <v>25</v>
      </c>
      <c r="H957" s="1" t="s">
        <v>17</v>
      </c>
      <c r="I957" s="4">
        <v>1312.71</v>
      </c>
      <c r="J957" s="4">
        <v>1352.11</v>
      </c>
      <c r="K957">
        <v>35</v>
      </c>
      <c r="L957" s="3">
        <v>0.22</v>
      </c>
      <c r="M957" s="4">
        <v>45944.85</v>
      </c>
      <c r="N957" s="4">
        <v>47316.15</v>
      </c>
      <c r="O957" s="4">
        <v>1371.3</v>
      </c>
      <c r="P957" s="3">
        <v>2.8981647915141E-2</v>
      </c>
    </row>
    <row r="958" spans="1:16" x14ac:dyDescent="0.3">
      <c r="A958">
        <v>1022</v>
      </c>
      <c r="B958" s="2">
        <v>44938</v>
      </c>
      <c r="C958" s="1" t="s">
        <v>12</v>
      </c>
      <c r="D958" s="1" t="s">
        <v>13</v>
      </c>
      <c r="E958" s="1" t="s">
        <v>22</v>
      </c>
      <c r="F958" s="1" t="s">
        <v>20</v>
      </c>
      <c r="G958" s="1" t="s">
        <v>25</v>
      </c>
      <c r="H958" s="1" t="s">
        <v>29</v>
      </c>
      <c r="I958" s="4">
        <v>2312.4499999999998</v>
      </c>
      <c r="J958" s="4">
        <v>2504.6</v>
      </c>
      <c r="K958">
        <v>13</v>
      </c>
      <c r="L958" s="3">
        <v>0.06</v>
      </c>
      <c r="M958" s="4">
        <v>30061.85</v>
      </c>
      <c r="N958" s="4">
        <v>32559.02</v>
      </c>
      <c r="O958" s="4">
        <v>2497.17</v>
      </c>
      <c r="P958" s="3">
        <v>7.66967187587341E-2</v>
      </c>
    </row>
    <row r="959" spans="1:16" x14ac:dyDescent="0.3">
      <c r="A959">
        <v>1045</v>
      </c>
      <c r="B959" s="2">
        <v>44938</v>
      </c>
      <c r="C959" s="1" t="s">
        <v>31</v>
      </c>
      <c r="D959" s="1" t="s">
        <v>27</v>
      </c>
      <c r="E959" s="1" t="s">
        <v>24</v>
      </c>
      <c r="F959" s="1" t="s">
        <v>15</v>
      </c>
      <c r="G959" s="1" t="s">
        <v>25</v>
      </c>
      <c r="H959" s="1" t="s">
        <v>29</v>
      </c>
      <c r="I959" s="4">
        <v>3777.94</v>
      </c>
      <c r="J959" s="4">
        <v>4188.66</v>
      </c>
      <c r="K959">
        <v>35</v>
      </c>
      <c r="L959" s="3">
        <v>0.17</v>
      </c>
      <c r="M959" s="4">
        <v>132227.9</v>
      </c>
      <c r="N959" s="4">
        <v>146597.15</v>
      </c>
      <c r="O959" s="4">
        <v>14369.25</v>
      </c>
      <c r="P959" s="3">
        <v>9.8018617687997397E-2</v>
      </c>
    </row>
    <row r="960" spans="1:16" x14ac:dyDescent="0.3">
      <c r="A960">
        <v>1048</v>
      </c>
      <c r="B960" s="2">
        <v>44938</v>
      </c>
      <c r="C960" s="1" t="s">
        <v>31</v>
      </c>
      <c r="D960" s="1" t="s">
        <v>13</v>
      </c>
      <c r="E960" s="1" t="s">
        <v>14</v>
      </c>
      <c r="F960" s="1" t="s">
        <v>15</v>
      </c>
      <c r="G960" s="1" t="s">
        <v>16</v>
      </c>
      <c r="H960" s="1" t="s">
        <v>17</v>
      </c>
      <c r="I960" s="4">
        <v>702.44</v>
      </c>
      <c r="J960" s="4">
        <v>1067.6600000000001</v>
      </c>
      <c r="K960">
        <v>47</v>
      </c>
      <c r="L960" s="3">
        <v>0.24</v>
      </c>
      <c r="M960" s="4">
        <v>33014.68</v>
      </c>
      <c r="N960" s="4">
        <v>50168.74</v>
      </c>
      <c r="O960" s="4">
        <v>17154.060000000001</v>
      </c>
      <c r="P960" s="3">
        <v>0.34192726386989197</v>
      </c>
    </row>
    <row r="961" spans="1:16" x14ac:dyDescent="0.3">
      <c r="A961">
        <v>1078</v>
      </c>
      <c r="B961" s="2">
        <v>44938</v>
      </c>
      <c r="C961" s="1" t="s">
        <v>12</v>
      </c>
      <c r="D961" s="1" t="s">
        <v>13</v>
      </c>
      <c r="E961" s="1" t="s">
        <v>22</v>
      </c>
      <c r="F961" s="1" t="s">
        <v>20</v>
      </c>
      <c r="G961" s="1" t="s">
        <v>21</v>
      </c>
      <c r="H961" s="1" t="s">
        <v>17</v>
      </c>
      <c r="I961" s="4">
        <v>4548.88</v>
      </c>
      <c r="J961" s="4">
        <v>4853.41</v>
      </c>
      <c r="K961">
        <v>36</v>
      </c>
      <c r="L961" s="3">
        <v>0.25</v>
      </c>
      <c r="M961" s="4">
        <v>163759.67999999999</v>
      </c>
      <c r="N961" s="4">
        <v>174713.76</v>
      </c>
      <c r="O961" s="4">
        <v>10954.08</v>
      </c>
      <c r="P961" s="3">
        <v>6.2697294134131207E-2</v>
      </c>
    </row>
    <row r="962" spans="1:16" x14ac:dyDescent="0.3">
      <c r="A962">
        <v>1087</v>
      </c>
      <c r="B962" s="2">
        <v>44938</v>
      </c>
      <c r="C962" s="1" t="s">
        <v>31</v>
      </c>
      <c r="D962" s="1" t="s">
        <v>30</v>
      </c>
      <c r="E962" s="1" t="s">
        <v>22</v>
      </c>
      <c r="F962" s="1" t="s">
        <v>15</v>
      </c>
      <c r="G962" s="1" t="s">
        <v>25</v>
      </c>
      <c r="H962" s="1" t="s">
        <v>17</v>
      </c>
      <c r="I962" s="4">
        <v>3724.38</v>
      </c>
      <c r="J962" s="4">
        <v>3988.7</v>
      </c>
      <c r="K962">
        <v>21</v>
      </c>
      <c r="L962" s="3">
        <v>0.03</v>
      </c>
      <c r="M962" s="4">
        <v>78211.98</v>
      </c>
      <c r="N962" s="4">
        <v>83762.070000000007</v>
      </c>
      <c r="O962" s="4">
        <v>5550.09</v>
      </c>
      <c r="P962" s="3">
        <v>6.6260181965416998E-2</v>
      </c>
    </row>
    <row r="963" spans="1:16" x14ac:dyDescent="0.3">
      <c r="A963">
        <v>1094</v>
      </c>
      <c r="B963" s="2">
        <v>44938</v>
      </c>
      <c r="C963" s="1" t="s">
        <v>12</v>
      </c>
      <c r="D963" s="1" t="s">
        <v>19</v>
      </c>
      <c r="E963" s="1" t="s">
        <v>22</v>
      </c>
      <c r="F963" s="1" t="s">
        <v>20</v>
      </c>
      <c r="G963" s="1" t="s">
        <v>21</v>
      </c>
      <c r="H963" s="1" t="s">
        <v>17</v>
      </c>
      <c r="I963" s="4">
        <v>3443.98</v>
      </c>
      <c r="J963" s="4">
        <v>3820.3</v>
      </c>
      <c r="K963">
        <v>38</v>
      </c>
      <c r="L963" s="3">
        <v>0.01</v>
      </c>
      <c r="M963" s="4">
        <v>130871.24</v>
      </c>
      <c r="N963" s="4">
        <v>145171.01999999999</v>
      </c>
      <c r="O963" s="4">
        <v>14299.78</v>
      </c>
      <c r="P963" s="3">
        <v>9.8502993228262795E-2</v>
      </c>
    </row>
    <row r="964" spans="1:16" x14ac:dyDescent="0.3">
      <c r="A964">
        <v>1044</v>
      </c>
      <c r="B964" s="2">
        <v>44937</v>
      </c>
      <c r="C964" s="1" t="s">
        <v>12</v>
      </c>
      <c r="D964" s="1" t="s">
        <v>30</v>
      </c>
      <c r="E964" s="1" t="s">
        <v>22</v>
      </c>
      <c r="F964" s="1" t="s">
        <v>15</v>
      </c>
      <c r="G964" s="1" t="s">
        <v>16</v>
      </c>
      <c r="H964" s="1" t="s">
        <v>17</v>
      </c>
      <c r="I964" s="4">
        <v>4762.87</v>
      </c>
      <c r="J964" s="4">
        <v>5050.46</v>
      </c>
      <c r="K964">
        <v>5</v>
      </c>
      <c r="L964" s="3">
        <v>0.25</v>
      </c>
      <c r="M964" s="4">
        <v>23814.35</v>
      </c>
      <c r="N964" s="4">
        <v>25251.05</v>
      </c>
      <c r="O964" s="4">
        <v>1436.7</v>
      </c>
      <c r="P964" s="3">
        <v>5.68966439019368E-2</v>
      </c>
    </row>
    <row r="965" spans="1:16" x14ac:dyDescent="0.3">
      <c r="A965">
        <v>1060</v>
      </c>
      <c r="B965" s="2">
        <v>44937</v>
      </c>
      <c r="C965" s="1" t="s">
        <v>31</v>
      </c>
      <c r="D965" s="1" t="s">
        <v>19</v>
      </c>
      <c r="E965" s="1" t="s">
        <v>28</v>
      </c>
      <c r="F965" s="1" t="s">
        <v>15</v>
      </c>
      <c r="G965" s="1" t="s">
        <v>16</v>
      </c>
      <c r="H965" s="1" t="s">
        <v>29</v>
      </c>
      <c r="I965" s="4">
        <v>4984.21</v>
      </c>
      <c r="J965" s="4">
        <v>5184.6400000000003</v>
      </c>
      <c r="K965">
        <v>34</v>
      </c>
      <c r="L965" s="3">
        <v>0.17</v>
      </c>
      <c r="M965" s="4">
        <v>169463.14</v>
      </c>
      <c r="N965" s="4">
        <v>176271.98</v>
      </c>
      <c r="O965" s="4">
        <v>6808.84</v>
      </c>
      <c r="P965" s="3">
        <v>3.8626899181594301E-2</v>
      </c>
    </row>
    <row r="966" spans="1:16" x14ac:dyDescent="0.3">
      <c r="A966">
        <v>1077</v>
      </c>
      <c r="B966" s="2">
        <v>44937</v>
      </c>
      <c r="C966" s="1" t="s">
        <v>12</v>
      </c>
      <c r="D966" s="1" t="s">
        <v>30</v>
      </c>
      <c r="E966" s="1" t="s">
        <v>28</v>
      </c>
      <c r="F966" s="1" t="s">
        <v>20</v>
      </c>
      <c r="G966" s="1" t="s">
        <v>25</v>
      </c>
      <c r="H966" s="1" t="s">
        <v>17</v>
      </c>
      <c r="I966" s="4">
        <v>585.37</v>
      </c>
      <c r="J966" s="4">
        <v>970.49</v>
      </c>
      <c r="K966">
        <v>35</v>
      </c>
      <c r="L966" s="3">
        <v>0.15</v>
      </c>
      <c r="M966" s="4">
        <v>20487.95</v>
      </c>
      <c r="N966" s="4">
        <v>33961.9</v>
      </c>
      <c r="O966" s="4">
        <v>13473.95</v>
      </c>
      <c r="P966" s="3">
        <v>0.39673722612692502</v>
      </c>
    </row>
    <row r="967" spans="1:16" x14ac:dyDescent="0.3">
      <c r="A967">
        <v>1084</v>
      </c>
      <c r="B967" s="2">
        <v>44937</v>
      </c>
      <c r="C967" s="1" t="s">
        <v>23</v>
      </c>
      <c r="D967" s="1" t="s">
        <v>13</v>
      </c>
      <c r="E967" s="1" t="s">
        <v>14</v>
      </c>
      <c r="F967" s="1" t="s">
        <v>20</v>
      </c>
      <c r="G967" s="1" t="s">
        <v>25</v>
      </c>
      <c r="H967" s="1" t="s">
        <v>29</v>
      </c>
      <c r="I967" s="4">
        <v>576.74</v>
      </c>
      <c r="J967" s="4">
        <v>648.29</v>
      </c>
      <c r="K967">
        <v>21</v>
      </c>
      <c r="L967" s="3">
        <v>0.2</v>
      </c>
      <c r="M967" s="4">
        <v>12111.54</v>
      </c>
      <c r="N967" s="4">
        <v>13609.89</v>
      </c>
      <c r="O967" s="4">
        <v>1498.35</v>
      </c>
      <c r="P967" s="3">
        <v>0.110092734033853</v>
      </c>
    </row>
    <row r="968" spans="1:16" x14ac:dyDescent="0.3">
      <c r="A968">
        <v>1088</v>
      </c>
      <c r="B968" s="2">
        <v>44937</v>
      </c>
      <c r="C968" s="1" t="s">
        <v>26</v>
      </c>
      <c r="D968" s="1" t="s">
        <v>27</v>
      </c>
      <c r="E968" s="1" t="s">
        <v>22</v>
      </c>
      <c r="F968" s="1" t="s">
        <v>20</v>
      </c>
      <c r="G968" s="1" t="s">
        <v>16</v>
      </c>
      <c r="H968" s="1" t="s">
        <v>29</v>
      </c>
      <c r="I968" s="4">
        <v>3884.13</v>
      </c>
      <c r="J968" s="4">
        <v>3915.41</v>
      </c>
      <c r="K968">
        <v>11</v>
      </c>
      <c r="L968" s="3">
        <v>0.02</v>
      </c>
      <c r="M968" s="4">
        <v>42725.43</v>
      </c>
      <c r="N968" s="4">
        <v>43069.29</v>
      </c>
      <c r="O968" s="4">
        <v>343.86</v>
      </c>
      <c r="P968" s="3">
        <v>7.9838790005593296E-3</v>
      </c>
    </row>
    <row r="969" spans="1:16" x14ac:dyDescent="0.3">
      <c r="A969">
        <v>1054</v>
      </c>
      <c r="B969" s="2">
        <v>44936</v>
      </c>
      <c r="C969" s="1" t="s">
        <v>12</v>
      </c>
      <c r="D969" s="1" t="s">
        <v>27</v>
      </c>
      <c r="E969" s="1" t="s">
        <v>24</v>
      </c>
      <c r="F969" s="1" t="s">
        <v>20</v>
      </c>
      <c r="G969" s="1" t="s">
        <v>16</v>
      </c>
      <c r="H969" s="1" t="s">
        <v>29</v>
      </c>
      <c r="I969" s="4">
        <v>2654.11</v>
      </c>
      <c r="J969" s="4">
        <v>2929.32</v>
      </c>
      <c r="K969">
        <v>40</v>
      </c>
      <c r="L969" s="3">
        <v>0.08</v>
      </c>
      <c r="M969" s="4">
        <v>106164.4</v>
      </c>
      <c r="N969" s="4">
        <v>117169.60000000001</v>
      </c>
      <c r="O969" s="4">
        <v>11005.2</v>
      </c>
      <c r="P969" s="3">
        <v>9.3925386789747503E-2</v>
      </c>
    </row>
    <row r="970" spans="1:16" x14ac:dyDescent="0.3">
      <c r="A970">
        <v>1094</v>
      </c>
      <c r="B970" s="2">
        <v>44936</v>
      </c>
      <c r="C970" s="1" t="s">
        <v>12</v>
      </c>
      <c r="D970" s="1" t="s">
        <v>30</v>
      </c>
      <c r="E970" s="1" t="s">
        <v>28</v>
      </c>
      <c r="F970" s="1" t="s">
        <v>15</v>
      </c>
      <c r="G970" s="1" t="s">
        <v>25</v>
      </c>
      <c r="H970" s="1" t="s">
        <v>29</v>
      </c>
      <c r="I970" s="4">
        <v>1933.39</v>
      </c>
      <c r="J970" s="4">
        <v>1982.92</v>
      </c>
      <c r="K970">
        <v>25</v>
      </c>
      <c r="L970" s="3">
        <v>0.17</v>
      </c>
      <c r="M970" s="4">
        <v>48334.75</v>
      </c>
      <c r="N970" s="4">
        <v>49568.75</v>
      </c>
      <c r="O970" s="4">
        <v>1234</v>
      </c>
      <c r="P970" s="3">
        <v>2.48947169335519E-2</v>
      </c>
    </row>
    <row r="971" spans="1:16" x14ac:dyDescent="0.3">
      <c r="A971">
        <v>1037</v>
      </c>
      <c r="B971" s="2">
        <v>44935</v>
      </c>
      <c r="C971" s="1" t="s">
        <v>31</v>
      </c>
      <c r="D971" s="1" t="s">
        <v>30</v>
      </c>
      <c r="E971" s="1" t="s">
        <v>14</v>
      </c>
      <c r="F971" s="1" t="s">
        <v>15</v>
      </c>
      <c r="G971" s="1" t="s">
        <v>21</v>
      </c>
      <c r="H971" s="1" t="s">
        <v>29</v>
      </c>
      <c r="I971" s="4">
        <v>4965.07</v>
      </c>
      <c r="J971" s="4">
        <v>5243.13</v>
      </c>
      <c r="K971">
        <v>41</v>
      </c>
      <c r="L971" s="3">
        <v>0.01</v>
      </c>
      <c r="M971" s="4">
        <v>203567.87</v>
      </c>
      <c r="N971" s="4">
        <v>214967.92</v>
      </c>
      <c r="O971" s="4">
        <v>11400.05</v>
      </c>
      <c r="P971" s="3">
        <v>5.3031401150459997E-2</v>
      </c>
    </row>
    <row r="972" spans="1:16" x14ac:dyDescent="0.3">
      <c r="A972">
        <v>1051</v>
      </c>
      <c r="B972" s="2">
        <v>44935</v>
      </c>
      <c r="C972" s="1" t="s">
        <v>18</v>
      </c>
      <c r="D972" s="1" t="s">
        <v>27</v>
      </c>
      <c r="E972" s="1" t="s">
        <v>24</v>
      </c>
      <c r="F972" s="1" t="s">
        <v>20</v>
      </c>
      <c r="G972" s="1" t="s">
        <v>21</v>
      </c>
      <c r="H972" s="1" t="s">
        <v>29</v>
      </c>
      <c r="I972" s="4">
        <v>2598.1799999999998</v>
      </c>
      <c r="J972" s="4">
        <v>3042.73</v>
      </c>
      <c r="K972">
        <v>23</v>
      </c>
      <c r="L972" s="3">
        <v>0.24</v>
      </c>
      <c r="M972" s="4">
        <v>59758.14</v>
      </c>
      <c r="N972" s="4">
        <v>69977.27</v>
      </c>
      <c r="O972" s="4">
        <v>10219.129999999999</v>
      </c>
      <c r="P972" s="3">
        <v>0.14603499107638801</v>
      </c>
    </row>
    <row r="973" spans="1:16" x14ac:dyDescent="0.3">
      <c r="A973">
        <v>1057</v>
      </c>
      <c r="B973" s="2">
        <v>44935</v>
      </c>
      <c r="C973" s="1" t="s">
        <v>31</v>
      </c>
      <c r="D973" s="1" t="s">
        <v>30</v>
      </c>
      <c r="E973" s="1" t="s">
        <v>24</v>
      </c>
      <c r="F973" s="1" t="s">
        <v>20</v>
      </c>
      <c r="G973" s="1" t="s">
        <v>25</v>
      </c>
      <c r="H973" s="1" t="s">
        <v>17</v>
      </c>
      <c r="I973" s="4">
        <v>639.16</v>
      </c>
      <c r="J973" s="4">
        <v>746.28</v>
      </c>
      <c r="K973">
        <v>12</v>
      </c>
      <c r="L973" s="3">
        <v>0.04</v>
      </c>
      <c r="M973" s="4">
        <v>7669.92</v>
      </c>
      <c r="N973" s="4">
        <v>8954.8799999999992</v>
      </c>
      <c r="O973" s="4">
        <v>1284.96</v>
      </c>
      <c r="P973" s="3">
        <v>0.14349271012006901</v>
      </c>
    </row>
    <row r="974" spans="1:16" x14ac:dyDescent="0.3">
      <c r="A974">
        <v>1066</v>
      </c>
      <c r="B974" s="2">
        <v>44935</v>
      </c>
      <c r="C974" s="1" t="s">
        <v>26</v>
      </c>
      <c r="D974" s="1" t="s">
        <v>30</v>
      </c>
      <c r="E974" s="1" t="s">
        <v>14</v>
      </c>
      <c r="F974" s="1" t="s">
        <v>15</v>
      </c>
      <c r="G974" s="1" t="s">
        <v>16</v>
      </c>
      <c r="H974" s="1" t="s">
        <v>29</v>
      </c>
      <c r="I974" s="4">
        <v>2588.54</v>
      </c>
      <c r="J974" s="4">
        <v>2872.8</v>
      </c>
      <c r="K974">
        <v>48</v>
      </c>
      <c r="L974" s="3">
        <v>0.17</v>
      </c>
      <c r="M974" s="4">
        <v>124249.92</v>
      </c>
      <c r="N974" s="4">
        <v>137886.24</v>
      </c>
      <c r="O974" s="4">
        <v>13636.32</v>
      </c>
      <c r="P974" s="3">
        <v>9.8895437282211798E-2</v>
      </c>
    </row>
    <row r="975" spans="1:16" x14ac:dyDescent="0.3">
      <c r="A975">
        <v>1067</v>
      </c>
      <c r="B975" s="2">
        <v>44935</v>
      </c>
      <c r="C975" s="1" t="s">
        <v>31</v>
      </c>
      <c r="D975" s="1" t="s">
        <v>30</v>
      </c>
      <c r="E975" s="1" t="s">
        <v>28</v>
      </c>
      <c r="F975" s="1" t="s">
        <v>15</v>
      </c>
      <c r="G975" s="1" t="s">
        <v>25</v>
      </c>
      <c r="H975" s="1" t="s">
        <v>29</v>
      </c>
      <c r="I975" s="4">
        <v>210.63</v>
      </c>
      <c r="J975" s="4">
        <v>533.58000000000004</v>
      </c>
      <c r="K975">
        <v>48</v>
      </c>
      <c r="L975" s="3">
        <v>0.04</v>
      </c>
      <c r="M975" s="4">
        <v>10110.24</v>
      </c>
      <c r="N975" s="4">
        <v>25609.919999999998</v>
      </c>
      <c r="O975" s="4">
        <v>15499.68</v>
      </c>
      <c r="P975" s="3">
        <v>0.60522172658094997</v>
      </c>
    </row>
    <row r="976" spans="1:16" x14ac:dyDescent="0.3">
      <c r="A976">
        <v>1039</v>
      </c>
      <c r="B976" s="2">
        <v>44934</v>
      </c>
      <c r="C976" s="1" t="s">
        <v>12</v>
      </c>
      <c r="D976" s="1" t="s">
        <v>27</v>
      </c>
      <c r="E976" s="1" t="s">
        <v>28</v>
      </c>
      <c r="F976" s="1" t="s">
        <v>20</v>
      </c>
      <c r="G976" s="1" t="s">
        <v>25</v>
      </c>
      <c r="H976" s="1" t="s">
        <v>17</v>
      </c>
      <c r="I976" s="4">
        <v>1054.1199999999999</v>
      </c>
      <c r="J976" s="4">
        <v>1175.22</v>
      </c>
      <c r="K976">
        <v>4</v>
      </c>
      <c r="L976" s="3">
        <v>0.12</v>
      </c>
      <c r="M976" s="4">
        <v>4216.4799999999996</v>
      </c>
      <c r="N976" s="4">
        <v>4700.3999999999996</v>
      </c>
      <c r="O976" s="4">
        <v>483.92</v>
      </c>
      <c r="P976" s="3">
        <v>0.102952940175304</v>
      </c>
    </row>
    <row r="977" spans="1:16" x14ac:dyDescent="0.3">
      <c r="A977">
        <v>1041</v>
      </c>
      <c r="B977" s="2">
        <v>44934</v>
      </c>
      <c r="C977" s="1" t="s">
        <v>18</v>
      </c>
      <c r="D977" s="1" t="s">
        <v>13</v>
      </c>
      <c r="E977" s="1" t="s">
        <v>22</v>
      </c>
      <c r="F977" s="1" t="s">
        <v>20</v>
      </c>
      <c r="G977" s="1" t="s">
        <v>16</v>
      </c>
      <c r="H977" s="1" t="s">
        <v>17</v>
      </c>
      <c r="I977" s="4">
        <v>864.77</v>
      </c>
      <c r="J977" s="4">
        <v>1170.1600000000001</v>
      </c>
      <c r="K977">
        <v>36</v>
      </c>
      <c r="L977" s="3">
        <v>0.11</v>
      </c>
      <c r="M977" s="4">
        <v>31131.72</v>
      </c>
      <c r="N977" s="4">
        <v>42121.8</v>
      </c>
      <c r="O977" s="4">
        <v>10990.08</v>
      </c>
      <c r="P977" s="3">
        <v>0.260911926840733</v>
      </c>
    </row>
    <row r="978" spans="1:16" x14ac:dyDescent="0.3">
      <c r="A978">
        <v>1021</v>
      </c>
      <c r="B978" s="2">
        <v>44933</v>
      </c>
      <c r="C978" s="1" t="s">
        <v>23</v>
      </c>
      <c r="D978" s="1" t="s">
        <v>30</v>
      </c>
      <c r="E978" s="1" t="s">
        <v>24</v>
      </c>
      <c r="F978" s="1" t="s">
        <v>15</v>
      </c>
      <c r="G978" s="1" t="s">
        <v>25</v>
      </c>
      <c r="H978" s="1" t="s">
        <v>29</v>
      </c>
      <c r="I978" s="4">
        <v>3365.28</v>
      </c>
      <c r="J978" s="4">
        <v>3730.43</v>
      </c>
      <c r="K978">
        <v>9</v>
      </c>
      <c r="L978" s="3">
        <v>0.17</v>
      </c>
      <c r="M978" s="4">
        <v>30287.52</v>
      </c>
      <c r="N978" s="4">
        <v>33572.339999999997</v>
      </c>
      <c r="O978" s="4">
        <v>3284.82</v>
      </c>
      <c r="P978" s="3">
        <v>9.7843045793054598E-2</v>
      </c>
    </row>
    <row r="979" spans="1:16" x14ac:dyDescent="0.3">
      <c r="A979">
        <v>1034</v>
      </c>
      <c r="B979" s="2">
        <v>44933</v>
      </c>
      <c r="C979" s="1" t="s">
        <v>18</v>
      </c>
      <c r="D979" s="1" t="s">
        <v>19</v>
      </c>
      <c r="E979" s="1" t="s">
        <v>24</v>
      </c>
      <c r="F979" s="1" t="s">
        <v>15</v>
      </c>
      <c r="G979" s="1" t="s">
        <v>25</v>
      </c>
      <c r="H979" s="1" t="s">
        <v>17</v>
      </c>
      <c r="I979" s="4">
        <v>137.47</v>
      </c>
      <c r="J979" s="4">
        <v>234.63</v>
      </c>
      <c r="K979">
        <v>28</v>
      </c>
      <c r="L979" s="3">
        <v>0.27</v>
      </c>
      <c r="M979" s="4">
        <v>3849.16</v>
      </c>
      <c r="N979" s="4">
        <v>6562.08</v>
      </c>
      <c r="O979" s="4">
        <v>2712.92</v>
      </c>
      <c r="P979" s="3">
        <v>0.41342379245605099</v>
      </c>
    </row>
    <row r="980" spans="1:16" x14ac:dyDescent="0.3">
      <c r="A980">
        <v>1065</v>
      </c>
      <c r="B980" s="2">
        <v>44933</v>
      </c>
      <c r="C980" s="1" t="s">
        <v>12</v>
      </c>
      <c r="D980" s="1" t="s">
        <v>30</v>
      </c>
      <c r="E980" s="1" t="s">
        <v>14</v>
      </c>
      <c r="F980" s="1" t="s">
        <v>15</v>
      </c>
      <c r="G980" s="1" t="s">
        <v>21</v>
      </c>
      <c r="H980" s="1" t="s">
        <v>29</v>
      </c>
      <c r="I980" s="4">
        <v>2019.9</v>
      </c>
      <c r="J980" s="4">
        <v>2116.7399999999998</v>
      </c>
      <c r="K980">
        <v>6</v>
      </c>
      <c r="L980" s="3">
        <v>0.11</v>
      </c>
      <c r="M980" s="4">
        <v>12119.4</v>
      </c>
      <c r="N980" s="4">
        <v>12699.78</v>
      </c>
      <c r="O980" s="4">
        <v>580.38</v>
      </c>
      <c r="P980" s="3">
        <v>4.5700004252042202E-2</v>
      </c>
    </row>
    <row r="981" spans="1:16" x14ac:dyDescent="0.3">
      <c r="A981">
        <v>1069</v>
      </c>
      <c r="B981" s="2">
        <v>44933</v>
      </c>
      <c r="C981" s="1" t="s">
        <v>26</v>
      </c>
      <c r="D981" s="1" t="s">
        <v>13</v>
      </c>
      <c r="E981" s="1" t="s">
        <v>22</v>
      </c>
      <c r="F981" s="1" t="s">
        <v>15</v>
      </c>
      <c r="G981" s="1" t="s">
        <v>25</v>
      </c>
      <c r="H981" s="1" t="s">
        <v>17</v>
      </c>
      <c r="I981" s="4">
        <v>1768.6</v>
      </c>
      <c r="J981" s="4">
        <v>2152.1999999999998</v>
      </c>
      <c r="K981">
        <v>6</v>
      </c>
      <c r="L981" s="3">
        <v>0.25</v>
      </c>
      <c r="M981" s="4">
        <v>10611.6</v>
      </c>
      <c r="N981" s="4">
        <v>12911.7</v>
      </c>
      <c r="O981" s="4">
        <v>2300.1</v>
      </c>
      <c r="P981" s="3">
        <v>0.178140756058459</v>
      </c>
    </row>
    <row r="982" spans="1:16" x14ac:dyDescent="0.3">
      <c r="A982">
        <v>1085</v>
      </c>
      <c r="B982" s="2">
        <v>44933</v>
      </c>
      <c r="C982" s="1" t="s">
        <v>12</v>
      </c>
      <c r="D982" s="1" t="s">
        <v>19</v>
      </c>
      <c r="E982" s="1" t="s">
        <v>22</v>
      </c>
      <c r="F982" s="1" t="s">
        <v>15</v>
      </c>
      <c r="G982" s="1" t="s">
        <v>16</v>
      </c>
      <c r="H982" s="1" t="s">
        <v>17</v>
      </c>
      <c r="I982" s="4">
        <v>472.08</v>
      </c>
      <c r="J982" s="4">
        <v>842.46</v>
      </c>
      <c r="K982">
        <v>16</v>
      </c>
      <c r="L982" s="3">
        <v>0</v>
      </c>
      <c r="M982" s="4">
        <v>7553.28</v>
      </c>
      <c r="N982" s="4">
        <v>13479.36</v>
      </c>
      <c r="O982" s="4">
        <v>5926.08</v>
      </c>
      <c r="P982" s="3">
        <v>0.439641051207179</v>
      </c>
    </row>
    <row r="983" spans="1:16" x14ac:dyDescent="0.3">
      <c r="A983">
        <v>1062</v>
      </c>
      <c r="B983" s="2">
        <v>44932</v>
      </c>
      <c r="C983" s="1" t="s">
        <v>12</v>
      </c>
      <c r="D983" s="1" t="s">
        <v>13</v>
      </c>
      <c r="E983" s="1" t="s">
        <v>14</v>
      </c>
      <c r="F983" s="1" t="s">
        <v>15</v>
      </c>
      <c r="G983" s="1" t="s">
        <v>21</v>
      </c>
      <c r="H983" s="1" t="s">
        <v>29</v>
      </c>
      <c r="I983" s="4">
        <v>4756.55</v>
      </c>
      <c r="J983" s="4">
        <v>4888.46</v>
      </c>
      <c r="K983">
        <v>15</v>
      </c>
      <c r="L983" s="3">
        <v>0.28999999999999998</v>
      </c>
      <c r="M983" s="4">
        <v>71348.25</v>
      </c>
      <c r="N983" s="4">
        <v>73322.55</v>
      </c>
      <c r="O983" s="4">
        <v>1974.3</v>
      </c>
      <c r="P983" s="3">
        <v>2.6926232107312102E-2</v>
      </c>
    </row>
    <row r="984" spans="1:16" x14ac:dyDescent="0.3">
      <c r="A984">
        <v>1087</v>
      </c>
      <c r="B984" s="2">
        <v>44932</v>
      </c>
      <c r="C984" s="1" t="s">
        <v>12</v>
      </c>
      <c r="D984" s="1" t="s">
        <v>27</v>
      </c>
      <c r="E984" s="1" t="s">
        <v>24</v>
      </c>
      <c r="F984" s="1" t="s">
        <v>15</v>
      </c>
      <c r="G984" s="1" t="s">
        <v>25</v>
      </c>
      <c r="H984" s="1" t="s">
        <v>29</v>
      </c>
      <c r="I984" s="4">
        <v>3702.51</v>
      </c>
      <c r="J984" s="4">
        <v>3964.65</v>
      </c>
      <c r="K984">
        <v>46</v>
      </c>
      <c r="L984" s="3">
        <v>0.12</v>
      </c>
      <c r="M984" s="4">
        <v>170315.46</v>
      </c>
      <c r="N984" s="4">
        <v>182368.38</v>
      </c>
      <c r="O984" s="4">
        <v>12052.92</v>
      </c>
      <c r="P984" s="3">
        <v>6.6091062496689404E-2</v>
      </c>
    </row>
    <row r="985" spans="1:16" x14ac:dyDescent="0.3">
      <c r="A985">
        <v>1023</v>
      </c>
      <c r="B985" s="2">
        <v>44931</v>
      </c>
      <c r="C985" s="1" t="s">
        <v>26</v>
      </c>
      <c r="D985" s="1" t="s">
        <v>13</v>
      </c>
      <c r="E985" s="1" t="s">
        <v>14</v>
      </c>
      <c r="F985" s="1" t="s">
        <v>20</v>
      </c>
      <c r="G985" s="1" t="s">
        <v>25</v>
      </c>
      <c r="H985" s="1" t="s">
        <v>29</v>
      </c>
      <c r="I985" s="4">
        <v>575.32000000000005</v>
      </c>
      <c r="J985" s="4">
        <v>914.77</v>
      </c>
      <c r="K985">
        <v>2</v>
      </c>
      <c r="L985" s="3">
        <v>0.26</v>
      </c>
      <c r="M985" s="4">
        <v>1150.6400000000001</v>
      </c>
      <c r="N985" s="4">
        <v>1829.02</v>
      </c>
      <c r="O985" s="4">
        <v>678.38</v>
      </c>
      <c r="P985" s="3">
        <v>0.37089807656559198</v>
      </c>
    </row>
    <row r="986" spans="1:16" x14ac:dyDescent="0.3">
      <c r="A986">
        <v>1052</v>
      </c>
      <c r="B986" s="2">
        <v>44931</v>
      </c>
      <c r="C986" s="1" t="s">
        <v>23</v>
      </c>
      <c r="D986" s="1" t="s">
        <v>30</v>
      </c>
      <c r="E986" s="1" t="s">
        <v>14</v>
      </c>
      <c r="F986" s="1" t="s">
        <v>15</v>
      </c>
      <c r="G986" s="1" t="s">
        <v>21</v>
      </c>
      <c r="H986" s="1" t="s">
        <v>17</v>
      </c>
      <c r="I986" s="4">
        <v>3451.59</v>
      </c>
      <c r="J986" s="4">
        <v>3929.26</v>
      </c>
      <c r="K986">
        <v>11</v>
      </c>
      <c r="L986" s="3">
        <v>0.3</v>
      </c>
      <c r="M986" s="4">
        <v>37967.49</v>
      </c>
      <c r="N986" s="4">
        <v>43218.559999999998</v>
      </c>
      <c r="O986" s="4">
        <v>5251.07</v>
      </c>
      <c r="P986" s="3">
        <v>0.121500346147581</v>
      </c>
    </row>
    <row r="987" spans="1:16" x14ac:dyDescent="0.3">
      <c r="A987">
        <v>1081</v>
      </c>
      <c r="B987" s="2">
        <v>44931</v>
      </c>
      <c r="C987" s="1" t="s">
        <v>23</v>
      </c>
      <c r="D987" s="1" t="s">
        <v>27</v>
      </c>
      <c r="E987" s="1" t="s">
        <v>22</v>
      </c>
      <c r="F987" s="1" t="s">
        <v>20</v>
      </c>
      <c r="G987" s="1" t="s">
        <v>16</v>
      </c>
      <c r="H987" s="1" t="s">
        <v>29</v>
      </c>
      <c r="I987" s="4">
        <v>618.79</v>
      </c>
      <c r="J987" s="4">
        <v>938.04</v>
      </c>
      <c r="K987">
        <v>44</v>
      </c>
      <c r="L987" s="3">
        <v>0.03</v>
      </c>
      <c r="M987" s="4">
        <v>27226.76</v>
      </c>
      <c r="N987" s="4">
        <v>41272.44</v>
      </c>
      <c r="O987" s="4">
        <v>14045.68</v>
      </c>
      <c r="P987" s="3">
        <v>0.34031620131981499</v>
      </c>
    </row>
    <row r="988" spans="1:16" x14ac:dyDescent="0.3">
      <c r="A988">
        <v>1002</v>
      </c>
      <c r="B988" s="2">
        <v>44930</v>
      </c>
      <c r="C988" s="1" t="s">
        <v>23</v>
      </c>
      <c r="D988" s="1" t="s">
        <v>13</v>
      </c>
      <c r="E988" s="1" t="s">
        <v>24</v>
      </c>
      <c r="F988" s="1" t="s">
        <v>15</v>
      </c>
      <c r="G988" s="1" t="s">
        <v>16</v>
      </c>
      <c r="H988" s="1" t="s">
        <v>29</v>
      </c>
      <c r="I988" s="4">
        <v>1727.12</v>
      </c>
      <c r="J988" s="4">
        <v>1865.83</v>
      </c>
      <c r="K988">
        <v>17</v>
      </c>
      <c r="L988" s="3">
        <v>0.21</v>
      </c>
      <c r="M988" s="4">
        <v>29361.040000000001</v>
      </c>
      <c r="N988" s="4">
        <v>31715.54</v>
      </c>
      <c r="O988" s="4">
        <v>2354.5</v>
      </c>
      <c r="P988" s="3">
        <v>7.4238054909359905E-2</v>
      </c>
    </row>
    <row r="989" spans="1:16" x14ac:dyDescent="0.3">
      <c r="A989">
        <v>1051</v>
      </c>
      <c r="B989" s="2">
        <v>44930</v>
      </c>
      <c r="C989" s="1" t="s">
        <v>12</v>
      </c>
      <c r="D989" s="1" t="s">
        <v>30</v>
      </c>
      <c r="E989" s="1" t="s">
        <v>28</v>
      </c>
      <c r="F989" s="1" t="s">
        <v>15</v>
      </c>
      <c r="G989" s="1" t="s">
        <v>25</v>
      </c>
      <c r="H989" s="1" t="s">
        <v>17</v>
      </c>
      <c r="I989" s="4">
        <v>3686.81</v>
      </c>
      <c r="J989" s="4">
        <v>3710.92</v>
      </c>
      <c r="K989">
        <v>14</v>
      </c>
      <c r="L989" s="3">
        <v>0.1</v>
      </c>
      <c r="M989" s="4">
        <v>51615.34</v>
      </c>
      <c r="N989" s="4">
        <v>51951.48</v>
      </c>
      <c r="O989" s="4">
        <v>336.14</v>
      </c>
      <c r="P989" s="3">
        <v>6.4702680270129001E-3</v>
      </c>
    </row>
    <row r="990" spans="1:16" x14ac:dyDescent="0.3">
      <c r="A990">
        <v>1064</v>
      </c>
      <c r="B990" s="2">
        <v>44930</v>
      </c>
      <c r="C990" s="1" t="s">
        <v>12</v>
      </c>
      <c r="D990" s="1" t="s">
        <v>13</v>
      </c>
      <c r="E990" s="1" t="s">
        <v>28</v>
      </c>
      <c r="F990" s="1" t="s">
        <v>15</v>
      </c>
      <c r="G990" s="1" t="s">
        <v>16</v>
      </c>
      <c r="H990" s="1" t="s">
        <v>29</v>
      </c>
      <c r="I990" s="4">
        <v>4764.96</v>
      </c>
      <c r="J990" s="4">
        <v>5074.42</v>
      </c>
      <c r="K990">
        <v>10</v>
      </c>
      <c r="L990" s="3">
        <v>0.12</v>
      </c>
      <c r="M990" s="4">
        <v>47649.599999999999</v>
      </c>
      <c r="N990" s="4">
        <v>50743</v>
      </c>
      <c r="O990" s="4">
        <v>3093.4</v>
      </c>
      <c r="P990" s="3">
        <v>6.0962103147232098E-2</v>
      </c>
    </row>
    <row r="991" spans="1:16" x14ac:dyDescent="0.3">
      <c r="A991">
        <v>1074</v>
      </c>
      <c r="B991" s="2">
        <v>44930</v>
      </c>
      <c r="C991" s="1" t="s">
        <v>12</v>
      </c>
      <c r="D991" s="1" t="s">
        <v>27</v>
      </c>
      <c r="E991" s="1" t="s">
        <v>24</v>
      </c>
      <c r="F991" s="1" t="s">
        <v>20</v>
      </c>
      <c r="G991" s="1" t="s">
        <v>25</v>
      </c>
      <c r="H991" s="1" t="s">
        <v>17</v>
      </c>
      <c r="I991" s="4">
        <v>1394.74</v>
      </c>
      <c r="J991" s="4">
        <v>1848.69</v>
      </c>
      <c r="K991">
        <v>38</v>
      </c>
      <c r="L991" s="3">
        <v>0</v>
      </c>
      <c r="M991" s="4">
        <v>53000.12</v>
      </c>
      <c r="N991" s="4">
        <v>70250.22</v>
      </c>
      <c r="O991" s="4">
        <v>17250.099999999999</v>
      </c>
      <c r="P991" s="3">
        <v>0.245552255921761</v>
      </c>
    </row>
    <row r="992" spans="1:16" x14ac:dyDescent="0.3">
      <c r="A992">
        <v>1086</v>
      </c>
      <c r="B992" s="2">
        <v>44930</v>
      </c>
      <c r="C992" s="1" t="s">
        <v>23</v>
      </c>
      <c r="D992" s="1" t="s">
        <v>27</v>
      </c>
      <c r="E992" s="1" t="s">
        <v>24</v>
      </c>
      <c r="F992" s="1" t="s">
        <v>15</v>
      </c>
      <c r="G992" s="1" t="s">
        <v>21</v>
      </c>
      <c r="H992" s="1" t="s">
        <v>29</v>
      </c>
      <c r="I992" s="4">
        <v>1569.31</v>
      </c>
      <c r="J992" s="4">
        <v>1798.02</v>
      </c>
      <c r="K992">
        <v>8</v>
      </c>
      <c r="L992" s="3">
        <v>7.0000000000000007E-2</v>
      </c>
      <c r="M992" s="4">
        <v>12554.48</v>
      </c>
      <c r="N992" s="4">
        <v>14383.6</v>
      </c>
      <c r="O992" s="4">
        <v>1829.12</v>
      </c>
      <c r="P992" s="3">
        <v>0.12716705136405301</v>
      </c>
    </row>
    <row r="993" spans="1:16" x14ac:dyDescent="0.3">
      <c r="A993">
        <v>1090</v>
      </c>
      <c r="B993" s="2">
        <v>44930</v>
      </c>
      <c r="C993" s="1" t="s">
        <v>12</v>
      </c>
      <c r="D993" s="1" t="s">
        <v>30</v>
      </c>
      <c r="E993" s="1" t="s">
        <v>24</v>
      </c>
      <c r="F993" s="1" t="s">
        <v>20</v>
      </c>
      <c r="G993" s="1" t="s">
        <v>21</v>
      </c>
      <c r="H993" s="1" t="s">
        <v>29</v>
      </c>
      <c r="I993" s="4">
        <v>4037.21</v>
      </c>
      <c r="J993" s="4">
        <v>4323.71</v>
      </c>
      <c r="K993">
        <v>14</v>
      </c>
      <c r="L993" s="3">
        <v>0.27</v>
      </c>
      <c r="M993" s="4">
        <v>56520.94</v>
      </c>
      <c r="N993" s="4">
        <v>60528.160000000003</v>
      </c>
      <c r="O993" s="4">
        <v>4007.22</v>
      </c>
      <c r="P993" s="3">
        <v>6.6204226264270999E-2</v>
      </c>
    </row>
    <row r="994" spans="1:16" x14ac:dyDescent="0.3">
      <c r="A994">
        <v>1027</v>
      </c>
      <c r="B994" s="2">
        <v>44929</v>
      </c>
      <c r="C994" s="1" t="s">
        <v>23</v>
      </c>
      <c r="D994" s="1" t="s">
        <v>13</v>
      </c>
      <c r="E994" s="1" t="s">
        <v>24</v>
      </c>
      <c r="F994" s="1" t="s">
        <v>20</v>
      </c>
      <c r="G994" s="1" t="s">
        <v>21</v>
      </c>
      <c r="H994" s="1" t="s">
        <v>29</v>
      </c>
      <c r="I994" s="4">
        <v>745.93</v>
      </c>
      <c r="J994" s="4">
        <v>1143.02</v>
      </c>
      <c r="K994">
        <v>30</v>
      </c>
      <c r="L994" s="3">
        <v>0.2</v>
      </c>
      <c r="M994" s="4">
        <v>22377.9</v>
      </c>
      <c r="N994" s="4">
        <v>34284.6</v>
      </c>
      <c r="O994" s="4">
        <v>11906.7</v>
      </c>
      <c r="P994" s="3">
        <v>0.34729003692619997</v>
      </c>
    </row>
    <row r="995" spans="1:16" x14ac:dyDescent="0.3">
      <c r="A995">
        <v>1087</v>
      </c>
      <c r="B995" s="2">
        <v>44929</v>
      </c>
      <c r="C995" s="1" t="s">
        <v>31</v>
      </c>
      <c r="D995" s="1" t="s">
        <v>13</v>
      </c>
      <c r="E995" s="1" t="s">
        <v>24</v>
      </c>
      <c r="F995" s="1" t="s">
        <v>15</v>
      </c>
      <c r="G995" s="1" t="s">
        <v>25</v>
      </c>
      <c r="H995" s="1" t="s">
        <v>29</v>
      </c>
      <c r="I995" s="4">
        <v>3625.94</v>
      </c>
      <c r="J995" s="4">
        <v>3880.53</v>
      </c>
      <c r="K995">
        <v>20</v>
      </c>
      <c r="L995" s="3">
        <v>0.24</v>
      </c>
      <c r="M995" s="4">
        <v>72518.8</v>
      </c>
      <c r="N995" s="4">
        <v>77605.8</v>
      </c>
      <c r="O995" s="4">
        <v>5087</v>
      </c>
      <c r="P995" s="3">
        <v>6.5549224413639195E-2</v>
      </c>
    </row>
    <row r="996" spans="1:16" x14ac:dyDescent="0.3">
      <c r="A996">
        <v>1099</v>
      </c>
      <c r="B996" s="2">
        <v>44929</v>
      </c>
      <c r="C996" s="1" t="s">
        <v>23</v>
      </c>
      <c r="D996" s="1" t="s">
        <v>13</v>
      </c>
      <c r="E996" s="1" t="s">
        <v>24</v>
      </c>
      <c r="F996" s="1" t="s">
        <v>15</v>
      </c>
      <c r="G996" s="1" t="s">
        <v>16</v>
      </c>
      <c r="H996" s="1" t="s">
        <v>17</v>
      </c>
      <c r="I996" s="4">
        <v>4632.8500000000004</v>
      </c>
      <c r="J996" s="4">
        <v>4711.7</v>
      </c>
      <c r="K996">
        <v>31</v>
      </c>
      <c r="L996" s="3">
        <v>0.21</v>
      </c>
      <c r="M996" s="4">
        <v>143618.35</v>
      </c>
      <c r="N996" s="4">
        <v>146056.19</v>
      </c>
      <c r="O996" s="4">
        <v>2437.84</v>
      </c>
      <c r="P996" s="3">
        <v>1.6691110455503502E-2</v>
      </c>
    </row>
    <row r="997" spans="1:16" x14ac:dyDescent="0.3">
      <c r="A997">
        <v>1064</v>
      </c>
      <c r="B997" s="2">
        <v>44928</v>
      </c>
      <c r="C997" s="1" t="s">
        <v>18</v>
      </c>
      <c r="D997" s="1" t="s">
        <v>27</v>
      </c>
      <c r="E997" s="1" t="s">
        <v>28</v>
      </c>
      <c r="F997" s="1" t="s">
        <v>20</v>
      </c>
      <c r="G997" s="1" t="s">
        <v>21</v>
      </c>
      <c r="H997" s="1" t="s">
        <v>29</v>
      </c>
      <c r="I997" s="4">
        <v>2242.0100000000002</v>
      </c>
      <c r="J997" s="4">
        <v>2282.23</v>
      </c>
      <c r="K997">
        <v>10</v>
      </c>
      <c r="L997" s="3">
        <v>0.2</v>
      </c>
      <c r="M997" s="4">
        <v>22420.1</v>
      </c>
      <c r="N997" s="4">
        <v>22820.3</v>
      </c>
      <c r="O997" s="4">
        <v>400.2</v>
      </c>
      <c r="P997" s="3">
        <v>1.7537017480050699E-2</v>
      </c>
    </row>
    <row r="998" spans="1:16" x14ac:dyDescent="0.3">
      <c r="A998">
        <v>1075</v>
      </c>
      <c r="B998" s="2">
        <v>44928</v>
      </c>
      <c r="C998" s="1" t="s">
        <v>18</v>
      </c>
      <c r="D998" s="1" t="s">
        <v>19</v>
      </c>
      <c r="E998" s="1" t="s">
        <v>28</v>
      </c>
      <c r="F998" s="1" t="s">
        <v>15</v>
      </c>
      <c r="G998" s="1" t="s">
        <v>21</v>
      </c>
      <c r="H998" s="1" t="s">
        <v>29</v>
      </c>
      <c r="I998" s="4">
        <v>4535.38</v>
      </c>
      <c r="J998" s="4">
        <v>4557.5600000000004</v>
      </c>
      <c r="K998">
        <v>26</v>
      </c>
      <c r="L998" s="3">
        <v>0</v>
      </c>
      <c r="M998" s="4">
        <v>117919.88</v>
      </c>
      <c r="N998" s="4">
        <v>118496.56</v>
      </c>
      <c r="O998" s="4">
        <v>576.67999999999995</v>
      </c>
      <c r="P998" s="3">
        <v>4.8666391665715897E-3</v>
      </c>
    </row>
    <row r="999" spans="1:16" x14ac:dyDescent="0.3">
      <c r="A999">
        <v>1008</v>
      </c>
      <c r="B999" s="2">
        <v>44927</v>
      </c>
      <c r="C999" s="1" t="s">
        <v>12</v>
      </c>
      <c r="D999" s="1" t="s">
        <v>30</v>
      </c>
      <c r="E999" s="1" t="s">
        <v>14</v>
      </c>
      <c r="F999" s="1" t="s">
        <v>20</v>
      </c>
      <c r="G999" s="1" t="s">
        <v>16</v>
      </c>
      <c r="H999" s="1" t="s">
        <v>29</v>
      </c>
      <c r="I999" s="4">
        <v>4635.2299999999996</v>
      </c>
      <c r="J999" s="4">
        <v>5075.4399999999996</v>
      </c>
      <c r="K999">
        <v>38</v>
      </c>
      <c r="L999" s="3">
        <v>0.05</v>
      </c>
      <c r="M999" s="4">
        <v>176138.74</v>
      </c>
      <c r="N999" s="4">
        <v>192864.82</v>
      </c>
      <c r="O999" s="4">
        <v>16726.080000000002</v>
      </c>
      <c r="P999" s="3">
        <v>8.6724369949895505E-2</v>
      </c>
    </row>
    <row r="1000" spans="1:16" x14ac:dyDescent="0.3">
      <c r="A1000">
        <v>1070</v>
      </c>
      <c r="B1000" s="2">
        <v>44927</v>
      </c>
      <c r="C1000" s="1" t="s">
        <v>12</v>
      </c>
      <c r="D1000" s="1" t="s">
        <v>27</v>
      </c>
      <c r="E1000" s="1" t="s">
        <v>24</v>
      </c>
      <c r="F1000" s="1" t="s">
        <v>20</v>
      </c>
      <c r="G1000" s="1" t="s">
        <v>25</v>
      </c>
      <c r="H1000" s="1" t="s">
        <v>17</v>
      </c>
      <c r="I1000" s="4">
        <v>664.33</v>
      </c>
      <c r="J1000" s="4">
        <v>863.03</v>
      </c>
      <c r="K1000">
        <v>12</v>
      </c>
      <c r="L1000" s="3">
        <v>0.25</v>
      </c>
      <c r="M1000" s="4">
        <v>7971.96</v>
      </c>
      <c r="N1000" s="4">
        <v>10353.36</v>
      </c>
      <c r="O1000" s="4">
        <v>2381.4</v>
      </c>
      <c r="P1000" s="3">
        <v>0.23001228586661701</v>
      </c>
    </row>
    <row r="1001" spans="1:16" x14ac:dyDescent="0.3">
      <c r="A1001">
        <v>1089</v>
      </c>
      <c r="B1001" s="2">
        <v>44927</v>
      </c>
      <c r="C1001" s="1" t="s">
        <v>31</v>
      </c>
      <c r="D1001" s="1" t="s">
        <v>30</v>
      </c>
      <c r="E1001" s="1" t="s">
        <v>14</v>
      </c>
      <c r="F1001" s="1" t="s">
        <v>15</v>
      </c>
      <c r="G1001" s="1" t="s">
        <v>21</v>
      </c>
      <c r="H1001" s="1" t="s">
        <v>29</v>
      </c>
      <c r="I1001" s="4">
        <v>4071.01</v>
      </c>
      <c r="J1001" s="4">
        <v>4304.7</v>
      </c>
      <c r="K1001">
        <v>35</v>
      </c>
      <c r="L1001" s="3">
        <v>0.14000000000000001</v>
      </c>
      <c r="M1001" s="4">
        <v>142485.35</v>
      </c>
      <c r="N1001" s="4">
        <v>150659.6</v>
      </c>
      <c r="O1001" s="4">
        <v>8174.25</v>
      </c>
      <c r="P1001" s="3">
        <v>5.42564164513911E-2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1CD1-EF60-4DEC-AC6E-46437BE98ED7}">
  <dimension ref="A1:F3"/>
  <sheetViews>
    <sheetView showGridLines="0" zoomScale="70" zoomScaleNormal="70" workbookViewId="0">
      <selection activeCell="P16" sqref="P16"/>
    </sheetView>
  </sheetViews>
  <sheetFormatPr defaultRowHeight="14.4" x14ac:dyDescent="0.3"/>
  <cols>
    <col min="1" max="1" width="6.109375" bestFit="1" customWidth="1"/>
    <col min="3" max="3" width="16.77734375" bestFit="1" customWidth="1"/>
    <col min="4" max="4" width="20.109375" bestFit="1" customWidth="1"/>
    <col min="5" max="5" width="17.44140625" bestFit="1" customWidth="1"/>
    <col min="6" max="6" width="22.6640625" bestFit="1" customWidth="1"/>
    <col min="10" max="10" width="8.88671875" customWidth="1"/>
  </cols>
  <sheetData>
    <row r="1" spans="1:6" x14ac:dyDescent="0.3">
      <c r="A1" t="s">
        <v>52</v>
      </c>
      <c r="C1" t="s">
        <v>43</v>
      </c>
      <c r="D1" t="s">
        <v>53</v>
      </c>
      <c r="E1" t="s">
        <v>44</v>
      </c>
      <c r="F1" t="s">
        <v>54</v>
      </c>
    </row>
    <row r="2" spans="1:6" x14ac:dyDescent="0.3">
      <c r="C2" s="1">
        <v>70326086.489999995</v>
      </c>
      <c r="D2" s="1">
        <v>25355</v>
      </c>
      <c r="E2" s="1">
        <v>6483992.8499999996</v>
      </c>
      <c r="F2" s="3">
        <v>0.1426870473085155</v>
      </c>
    </row>
    <row r="3" spans="1:6" x14ac:dyDescent="0.3">
      <c r="C3" s="12">
        <f>GETPIVOTDATA("[Measures].[Sum of Total Sales]",$C$1)</f>
        <v>70326086.489999995</v>
      </c>
      <c r="D3">
        <f>GETPIVOTDATA("[Measures].[Sum of Quantity_Sold]",$C$1)</f>
        <v>25355</v>
      </c>
      <c r="E3" s="12">
        <f>GETPIVOTDATA("[Measures].[Sum of Total Profit]",$C$1)</f>
        <v>6483992.8499999996</v>
      </c>
      <c r="F3" s="3">
        <f>GETPIVOTDATA("[Measures].[Average of Profit Margin]",$C$1)</f>
        <v>0.1426870473085155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12983-A369-4476-8D54-770679E18D74}">
  <sheetPr>
    <pageSetUpPr autoPageBreaks="0"/>
  </sheetPr>
  <dimension ref="A7:J55"/>
  <sheetViews>
    <sheetView showGridLines="0" tabSelected="1" topLeftCell="A6" zoomScale="67" zoomScaleNormal="55" workbookViewId="0">
      <selection activeCell="I50" sqref="I50"/>
    </sheetView>
  </sheetViews>
  <sheetFormatPr defaultRowHeight="14.4" x14ac:dyDescent="0.3"/>
  <cols>
    <col min="1" max="1" width="26.33203125" bestFit="1" customWidth="1"/>
    <col min="2" max="2" width="17.6640625" style="4" bestFit="1" customWidth="1"/>
    <col min="3" max="3" width="15.6640625" style="4" bestFit="1" customWidth="1"/>
    <col min="4" max="5" width="14.33203125" bestFit="1" customWidth="1"/>
    <col min="6" max="6" width="18.21875" bestFit="1" customWidth="1"/>
    <col min="7" max="9" width="16.88671875" bestFit="1" customWidth="1"/>
    <col min="10" max="10" width="12.109375" bestFit="1" customWidth="1"/>
    <col min="11" max="11" width="18.77734375" bestFit="1" customWidth="1"/>
    <col min="12" max="12" width="10.6640625" bestFit="1" customWidth="1"/>
    <col min="13" max="13" width="7.5546875" bestFit="1" customWidth="1"/>
    <col min="14" max="14" width="16.88671875" bestFit="1" customWidth="1"/>
    <col min="15" max="15" width="20.21875" bestFit="1" customWidth="1"/>
    <col min="16" max="16" width="17.44140625" bestFit="1" customWidth="1"/>
    <col min="17" max="17" width="22.6640625" bestFit="1" customWidth="1"/>
    <col min="18" max="18" width="26.109375" bestFit="1" customWidth="1"/>
    <col min="19" max="19" width="11.109375" bestFit="1" customWidth="1"/>
    <col min="20" max="20" width="25.109375" bestFit="1" customWidth="1"/>
    <col min="21" max="21" width="22.88671875" bestFit="1" customWidth="1"/>
    <col min="22" max="22" width="25.109375" bestFit="1" customWidth="1"/>
    <col min="23" max="23" width="22.88671875" bestFit="1" customWidth="1"/>
    <col min="24" max="24" width="25.109375" bestFit="1" customWidth="1"/>
    <col min="25" max="25" width="27.77734375" bestFit="1" customWidth="1"/>
    <col min="26" max="26" width="30.109375" bestFit="1" customWidth="1"/>
    <col min="27" max="27" width="21.77734375" bestFit="1" customWidth="1"/>
    <col min="28" max="340" width="15.5546875" bestFit="1" customWidth="1"/>
    <col min="341" max="342" width="10.77734375" bestFit="1" customWidth="1"/>
  </cols>
  <sheetData>
    <row r="7" spans="1:9" ht="18" x14ac:dyDescent="0.35">
      <c r="A7" s="25" t="s">
        <v>45</v>
      </c>
      <c r="B7" s="25"/>
      <c r="C7" s="25"/>
      <c r="D7" s="25"/>
      <c r="F7" s="25" t="s">
        <v>47</v>
      </c>
      <c r="G7" s="25"/>
      <c r="H7" s="25"/>
      <c r="I7" s="25"/>
    </row>
    <row r="8" spans="1:9" ht="15.6" x14ac:dyDescent="0.3">
      <c r="A8" s="5" t="s">
        <v>294</v>
      </c>
      <c r="B8" s="6" t="s">
        <v>296</v>
      </c>
      <c r="C8" s="6" t="s">
        <v>34</v>
      </c>
      <c r="D8" s="9" t="s">
        <v>295</v>
      </c>
      <c r="F8" s="5" t="s">
        <v>43</v>
      </c>
      <c r="G8" s="5" t="s">
        <v>42</v>
      </c>
      <c r="H8" s="9"/>
      <c r="I8" s="9"/>
    </row>
    <row r="9" spans="1:9" ht="15.6" x14ac:dyDescent="0.3">
      <c r="A9" s="7" t="s">
        <v>38</v>
      </c>
      <c r="B9" s="6"/>
      <c r="C9" s="6"/>
      <c r="D9" s="10"/>
      <c r="F9" s="5" t="s">
        <v>36</v>
      </c>
      <c r="G9" s="6" t="s">
        <v>29</v>
      </c>
      <c r="H9" s="6" t="s">
        <v>17</v>
      </c>
      <c r="I9" s="6" t="s">
        <v>37</v>
      </c>
    </row>
    <row r="10" spans="1:9" ht="15.6" x14ac:dyDescent="0.3">
      <c r="A10" s="8" t="s">
        <v>348</v>
      </c>
      <c r="B10" s="6">
        <v>7427466.4699999997</v>
      </c>
      <c r="C10" s="6">
        <v>654848.01</v>
      </c>
      <c r="D10" s="16">
        <v>100</v>
      </c>
      <c r="F10" s="7" t="s">
        <v>38</v>
      </c>
      <c r="G10" s="6"/>
      <c r="H10" s="6"/>
      <c r="I10" s="6"/>
    </row>
    <row r="11" spans="1:9" ht="15.6" x14ac:dyDescent="0.3">
      <c r="A11" s="8" t="s">
        <v>349</v>
      </c>
      <c r="B11" s="6">
        <v>5627150.9100000001</v>
      </c>
      <c r="C11" s="6">
        <v>477726.54</v>
      </c>
      <c r="D11" s="16">
        <v>75</v>
      </c>
      <c r="F11" s="8" t="s">
        <v>348</v>
      </c>
      <c r="G11" s="6">
        <v>4444187.57</v>
      </c>
      <c r="H11" s="6">
        <v>2983278.9</v>
      </c>
      <c r="I11" s="6">
        <v>7427466.4699999997</v>
      </c>
    </row>
    <row r="12" spans="1:9" ht="15.6" x14ac:dyDescent="0.3">
      <c r="A12" s="8" t="s">
        <v>350</v>
      </c>
      <c r="B12" s="6">
        <v>6007955.4000000004</v>
      </c>
      <c r="C12" s="6">
        <v>528327.80000000005</v>
      </c>
      <c r="D12" s="16">
        <v>80</v>
      </c>
      <c r="F12" s="8" t="s">
        <v>349</v>
      </c>
      <c r="G12" s="6">
        <v>3074194.42</v>
      </c>
      <c r="H12" s="6">
        <v>2552956.4900000002</v>
      </c>
      <c r="I12" s="6">
        <v>5627150.9100000001</v>
      </c>
    </row>
    <row r="13" spans="1:9" ht="15.6" x14ac:dyDescent="0.3">
      <c r="A13" s="8" t="s">
        <v>351</v>
      </c>
      <c r="B13" s="6">
        <v>5468160.0899999999</v>
      </c>
      <c r="C13" s="6">
        <v>495669.29</v>
      </c>
      <c r="D13" s="16">
        <v>81</v>
      </c>
      <c r="F13" s="8" t="s">
        <v>350</v>
      </c>
      <c r="G13" s="6">
        <v>3136747.05</v>
      </c>
      <c r="H13" s="6">
        <v>2871208.35</v>
      </c>
      <c r="I13" s="6">
        <v>6007955.4000000004</v>
      </c>
    </row>
    <row r="14" spans="1:9" ht="15.6" x14ac:dyDescent="0.3">
      <c r="A14" s="8" t="s">
        <v>352</v>
      </c>
      <c r="B14" s="6">
        <v>5800306.6500000004</v>
      </c>
      <c r="C14" s="6">
        <v>489152.29</v>
      </c>
      <c r="D14" s="16">
        <v>72</v>
      </c>
      <c r="F14" s="8" t="s">
        <v>351</v>
      </c>
      <c r="G14" s="6">
        <v>2856036.09</v>
      </c>
      <c r="H14" s="6">
        <v>2612124</v>
      </c>
      <c r="I14" s="6">
        <v>5468160.0899999999</v>
      </c>
    </row>
    <row r="15" spans="1:9" ht="15.6" x14ac:dyDescent="0.3">
      <c r="A15" s="8" t="s">
        <v>353</v>
      </c>
      <c r="B15" s="6">
        <v>6142236.75</v>
      </c>
      <c r="C15" s="6">
        <v>605667.72</v>
      </c>
      <c r="D15" s="16">
        <v>92</v>
      </c>
      <c r="F15" s="8" t="s">
        <v>352</v>
      </c>
      <c r="G15" s="6">
        <v>3254278.36</v>
      </c>
      <c r="H15" s="6">
        <v>2546028.29</v>
      </c>
      <c r="I15" s="6">
        <v>5800306.6500000004</v>
      </c>
    </row>
    <row r="16" spans="1:9" ht="15.6" x14ac:dyDescent="0.3">
      <c r="A16" s="8" t="s">
        <v>39</v>
      </c>
      <c r="B16" s="6">
        <v>4751182.71</v>
      </c>
      <c r="C16" s="6">
        <v>447429.05</v>
      </c>
      <c r="D16" s="16">
        <v>68</v>
      </c>
      <c r="F16" s="8" t="s">
        <v>353</v>
      </c>
      <c r="G16" s="6">
        <v>3705590.67</v>
      </c>
      <c r="H16" s="6">
        <v>2436646.08</v>
      </c>
      <c r="I16" s="6">
        <v>6142236.75</v>
      </c>
    </row>
    <row r="17" spans="1:10" ht="15.6" x14ac:dyDescent="0.3">
      <c r="A17" s="8" t="s">
        <v>40</v>
      </c>
      <c r="B17" s="6">
        <v>6715844.5</v>
      </c>
      <c r="C17" s="6">
        <v>558071.57999999996</v>
      </c>
      <c r="D17" s="16">
        <v>93</v>
      </c>
      <c r="F17" s="8" t="s">
        <v>39</v>
      </c>
      <c r="G17" s="6">
        <v>2918381.96</v>
      </c>
      <c r="H17" s="6">
        <v>1832800.75</v>
      </c>
      <c r="I17" s="6">
        <v>4751182.71</v>
      </c>
    </row>
    <row r="18" spans="1:10" ht="15.6" x14ac:dyDescent="0.3">
      <c r="A18" s="8" t="s">
        <v>41</v>
      </c>
      <c r="B18" s="6">
        <v>4556715.79</v>
      </c>
      <c r="C18" s="6">
        <v>472640.73</v>
      </c>
      <c r="D18" s="16">
        <v>68</v>
      </c>
      <c r="F18" s="8" t="s">
        <v>40</v>
      </c>
      <c r="G18" s="6">
        <v>2822281.38</v>
      </c>
      <c r="H18" s="6">
        <v>3893563.12</v>
      </c>
      <c r="I18" s="6">
        <v>6715844.5</v>
      </c>
    </row>
    <row r="19" spans="1:10" ht="15.6" x14ac:dyDescent="0.3">
      <c r="A19" s="8" t="s">
        <v>354</v>
      </c>
      <c r="B19" s="6">
        <v>6560269.8799999999</v>
      </c>
      <c r="C19" s="6">
        <v>584343.31999999995</v>
      </c>
      <c r="D19" s="16">
        <v>88</v>
      </c>
      <c r="F19" s="8" t="s">
        <v>41</v>
      </c>
      <c r="G19" s="6">
        <v>2124673.35</v>
      </c>
      <c r="H19" s="6">
        <v>2432042.44</v>
      </c>
      <c r="I19" s="6">
        <v>4556715.79</v>
      </c>
    </row>
    <row r="20" spans="1:10" ht="15.6" x14ac:dyDescent="0.3">
      <c r="A20" s="8" t="s">
        <v>355</v>
      </c>
      <c r="B20" s="6">
        <v>4958587.54</v>
      </c>
      <c r="C20" s="6">
        <v>557469.41</v>
      </c>
      <c r="D20" s="16">
        <v>95</v>
      </c>
      <c r="F20" s="8" t="s">
        <v>354</v>
      </c>
      <c r="G20" s="6">
        <v>2887641.32</v>
      </c>
      <c r="H20" s="6">
        <v>3672628.56</v>
      </c>
      <c r="I20" s="6">
        <v>6560269.8799999999</v>
      </c>
    </row>
    <row r="21" spans="1:10" ht="15.6" x14ac:dyDescent="0.3">
      <c r="A21" s="8" t="s">
        <v>356</v>
      </c>
      <c r="B21" s="6">
        <v>6249941.5300000003</v>
      </c>
      <c r="C21" s="6">
        <v>590096.29</v>
      </c>
      <c r="D21" s="16">
        <v>85</v>
      </c>
      <c r="F21" s="8" t="s">
        <v>355</v>
      </c>
      <c r="G21" s="6">
        <v>1844463.03</v>
      </c>
      <c r="H21" s="6">
        <v>3114124.51</v>
      </c>
      <c r="I21" s="6">
        <v>4958587.54</v>
      </c>
    </row>
    <row r="22" spans="1:10" ht="15.6" x14ac:dyDescent="0.3">
      <c r="A22" s="7" t="s">
        <v>357</v>
      </c>
      <c r="B22" s="6"/>
      <c r="C22" s="6"/>
      <c r="D22" s="10"/>
      <c r="F22" s="8" t="s">
        <v>356</v>
      </c>
      <c r="G22" s="6">
        <v>2622282.27</v>
      </c>
      <c r="H22" s="6">
        <v>3627659.26</v>
      </c>
      <c r="I22" s="6">
        <v>6249941.5300000003</v>
      </c>
    </row>
    <row r="23" spans="1:10" ht="15.6" x14ac:dyDescent="0.3">
      <c r="A23" s="8" t="s">
        <v>348</v>
      </c>
      <c r="B23" s="6">
        <v>60268.27</v>
      </c>
      <c r="C23" s="6">
        <v>22550.82</v>
      </c>
      <c r="D23" s="6">
        <v>3</v>
      </c>
      <c r="F23" s="7" t="s">
        <v>357</v>
      </c>
      <c r="G23" s="6"/>
      <c r="H23" s="6"/>
      <c r="I23" s="6"/>
    </row>
    <row r="24" spans="1:10" ht="15.6" x14ac:dyDescent="0.3">
      <c r="A24" s="7" t="s">
        <v>37</v>
      </c>
      <c r="B24" s="6">
        <v>70326086.489999995</v>
      </c>
      <c r="C24" s="6">
        <v>6483992.8499999996</v>
      </c>
      <c r="D24" s="16">
        <v>1000</v>
      </c>
      <c r="F24" s="8" t="s">
        <v>348</v>
      </c>
      <c r="G24" s="6">
        <v>47042.47</v>
      </c>
      <c r="H24" s="6">
        <v>13225.8</v>
      </c>
      <c r="I24" s="6">
        <v>60268.27</v>
      </c>
    </row>
    <row r="25" spans="1:10" ht="15.6" x14ac:dyDescent="0.3">
      <c r="A25" s="9"/>
      <c r="B25" s="6"/>
      <c r="C25" s="6"/>
      <c r="F25" s="7" t="s">
        <v>37</v>
      </c>
      <c r="G25" s="6">
        <v>35737799.939999998</v>
      </c>
      <c r="H25" s="6">
        <v>34588286.549999997</v>
      </c>
      <c r="I25" s="6">
        <v>70326086.489999995</v>
      </c>
    </row>
    <row r="26" spans="1:10" ht="15.6" x14ac:dyDescent="0.3">
      <c r="A26" s="9"/>
      <c r="B26" s="6"/>
      <c r="C26" s="6"/>
    </row>
    <row r="27" spans="1:10" ht="18" x14ac:dyDescent="0.35">
      <c r="A27" s="25" t="s">
        <v>46</v>
      </c>
      <c r="B27" s="25"/>
      <c r="C27" s="25"/>
      <c r="D27" s="25"/>
      <c r="E27" s="25"/>
      <c r="F27" s="25"/>
      <c r="G27" s="25"/>
      <c r="H27" s="25"/>
      <c r="I27" s="25"/>
      <c r="J27" s="25"/>
    </row>
    <row r="28" spans="1:10" ht="15.6" x14ac:dyDescent="0.3">
      <c r="A28" s="5" t="s">
        <v>50</v>
      </c>
      <c r="B28" s="5" t="s">
        <v>42</v>
      </c>
      <c r="C28" s="9"/>
      <c r="D28" s="9"/>
      <c r="E28" s="9"/>
      <c r="F28" s="9"/>
      <c r="G28" s="9"/>
      <c r="H28" s="9"/>
      <c r="I28" s="9"/>
      <c r="J28" s="9"/>
    </row>
    <row r="29" spans="1:10" ht="15.6" x14ac:dyDescent="0.3">
      <c r="A29" s="9"/>
      <c r="B29" s="9" t="s">
        <v>19</v>
      </c>
      <c r="C29" s="9"/>
      <c r="D29" s="9" t="s">
        <v>13</v>
      </c>
      <c r="E29" s="9"/>
      <c r="F29" s="9" t="s">
        <v>27</v>
      </c>
      <c r="G29" s="9"/>
      <c r="H29" s="9" t="s">
        <v>30</v>
      </c>
      <c r="I29" s="9"/>
      <c r="J29" s="9" t="s">
        <v>37</v>
      </c>
    </row>
    <row r="30" spans="1:10" ht="15.6" x14ac:dyDescent="0.3">
      <c r="A30" s="5" t="s">
        <v>36</v>
      </c>
      <c r="B30" s="9" t="s">
        <v>29</v>
      </c>
      <c r="C30" s="9" t="s">
        <v>17</v>
      </c>
      <c r="D30" s="9" t="s">
        <v>29</v>
      </c>
      <c r="E30" s="9" t="s">
        <v>17</v>
      </c>
      <c r="F30" s="9" t="s">
        <v>29</v>
      </c>
      <c r="G30" s="9" t="s">
        <v>17</v>
      </c>
      <c r="H30" s="9" t="s">
        <v>29</v>
      </c>
      <c r="I30" s="9" t="s">
        <v>17</v>
      </c>
      <c r="J30" s="9"/>
    </row>
    <row r="31" spans="1:10" ht="15.6" x14ac:dyDescent="0.3">
      <c r="A31" s="7" t="s">
        <v>14</v>
      </c>
      <c r="B31" s="10">
        <v>714</v>
      </c>
      <c r="C31" s="10">
        <v>955</v>
      </c>
      <c r="D31" s="10">
        <v>661</v>
      </c>
      <c r="E31" s="10">
        <v>1136</v>
      </c>
      <c r="F31" s="10">
        <v>678</v>
      </c>
      <c r="G31" s="10">
        <v>839</v>
      </c>
      <c r="H31" s="10">
        <v>1044</v>
      </c>
      <c r="I31" s="10">
        <v>895</v>
      </c>
      <c r="J31" s="10">
        <v>6922</v>
      </c>
    </row>
    <row r="32" spans="1:10" ht="15.6" x14ac:dyDescent="0.3">
      <c r="A32" s="7" t="s">
        <v>28</v>
      </c>
      <c r="B32" s="10">
        <v>970</v>
      </c>
      <c r="C32" s="10">
        <v>569</v>
      </c>
      <c r="D32" s="10">
        <v>893</v>
      </c>
      <c r="E32" s="10">
        <v>730</v>
      </c>
      <c r="F32" s="10">
        <v>704</v>
      </c>
      <c r="G32" s="10">
        <v>570</v>
      </c>
      <c r="H32" s="10">
        <v>792</v>
      </c>
      <c r="I32" s="10">
        <v>868</v>
      </c>
      <c r="J32" s="10">
        <v>6096</v>
      </c>
    </row>
    <row r="33" spans="1:10" ht="15.6" x14ac:dyDescent="0.3">
      <c r="A33" s="7" t="s">
        <v>22</v>
      </c>
      <c r="B33" s="10">
        <v>605</v>
      </c>
      <c r="C33" s="10">
        <v>784</v>
      </c>
      <c r="D33" s="10">
        <v>729</v>
      </c>
      <c r="E33" s="10">
        <v>734</v>
      </c>
      <c r="F33" s="10">
        <v>770</v>
      </c>
      <c r="G33" s="10">
        <v>807</v>
      </c>
      <c r="H33" s="10">
        <v>585</v>
      </c>
      <c r="I33" s="10">
        <v>594</v>
      </c>
      <c r="J33" s="10">
        <v>5608</v>
      </c>
    </row>
    <row r="34" spans="1:10" ht="15.6" x14ac:dyDescent="0.3">
      <c r="A34" s="7" t="s">
        <v>24</v>
      </c>
      <c r="B34" s="10">
        <v>1084</v>
      </c>
      <c r="C34" s="10">
        <v>805</v>
      </c>
      <c r="D34" s="10">
        <v>570</v>
      </c>
      <c r="E34" s="10">
        <v>903</v>
      </c>
      <c r="F34" s="10">
        <v>811</v>
      </c>
      <c r="G34" s="10">
        <v>629</v>
      </c>
      <c r="H34" s="10">
        <v>992</v>
      </c>
      <c r="I34" s="10">
        <v>935</v>
      </c>
      <c r="J34" s="10">
        <v>6729</v>
      </c>
    </row>
    <row r="35" spans="1:10" ht="15.6" x14ac:dyDescent="0.3">
      <c r="A35" s="7" t="s">
        <v>37</v>
      </c>
      <c r="B35" s="10">
        <v>3373</v>
      </c>
      <c r="C35" s="10">
        <v>3113</v>
      </c>
      <c r="D35" s="10">
        <v>2853</v>
      </c>
      <c r="E35" s="10">
        <v>3503</v>
      </c>
      <c r="F35" s="10">
        <v>2963</v>
      </c>
      <c r="G35" s="10">
        <v>2845</v>
      </c>
      <c r="H35" s="10">
        <v>3413</v>
      </c>
      <c r="I35" s="10">
        <v>3292</v>
      </c>
      <c r="J35" s="10">
        <v>25355</v>
      </c>
    </row>
    <row r="37" spans="1:10" ht="18" x14ac:dyDescent="0.35">
      <c r="A37" s="25" t="s">
        <v>48</v>
      </c>
      <c r="B37" s="25"/>
      <c r="C37" s="25"/>
      <c r="D37" s="25"/>
      <c r="E37" s="25"/>
      <c r="F37" s="25"/>
    </row>
    <row r="38" spans="1:10" ht="15.6" x14ac:dyDescent="0.3">
      <c r="A38" s="5" t="s">
        <v>44</v>
      </c>
      <c r="B38" s="5" t="s">
        <v>42</v>
      </c>
      <c r="C38" s="9"/>
      <c r="D38" s="9"/>
      <c r="E38" s="9"/>
      <c r="F38" s="9"/>
    </row>
    <row r="39" spans="1:10" ht="15.6" x14ac:dyDescent="0.3">
      <c r="A39" s="5" t="s">
        <v>36</v>
      </c>
      <c r="B39" s="9" t="s">
        <v>30</v>
      </c>
      <c r="C39" s="9" t="s">
        <v>27</v>
      </c>
      <c r="D39" s="9" t="s">
        <v>13</v>
      </c>
      <c r="E39" s="9" t="s">
        <v>19</v>
      </c>
      <c r="F39" s="6" t="s">
        <v>37</v>
      </c>
    </row>
    <row r="40" spans="1:10" ht="15.6" x14ac:dyDescent="0.3">
      <c r="A40" s="7" t="s">
        <v>26</v>
      </c>
      <c r="B40" s="11">
        <v>332389.7</v>
      </c>
      <c r="C40" s="11">
        <v>297552.03000000003</v>
      </c>
      <c r="D40" s="11">
        <v>382220.06</v>
      </c>
      <c r="E40" s="11">
        <v>281971.75</v>
      </c>
      <c r="F40" s="11">
        <v>1294133.54</v>
      </c>
    </row>
    <row r="41" spans="1:10" ht="15.6" x14ac:dyDescent="0.3">
      <c r="A41" s="7" t="s">
        <v>23</v>
      </c>
      <c r="B41" s="11">
        <v>277442.84000000003</v>
      </c>
      <c r="C41" s="11">
        <v>235985.68</v>
      </c>
      <c r="D41" s="11">
        <v>279455.88</v>
      </c>
      <c r="E41" s="11">
        <v>377207.71</v>
      </c>
      <c r="F41" s="11">
        <v>1170092.1100000001</v>
      </c>
    </row>
    <row r="42" spans="1:10" ht="15.6" x14ac:dyDescent="0.3">
      <c r="A42" s="7" t="s">
        <v>31</v>
      </c>
      <c r="B42" s="11">
        <v>282940.96000000002</v>
      </c>
      <c r="C42" s="11">
        <v>222397.64</v>
      </c>
      <c r="D42" s="11">
        <v>240495.76</v>
      </c>
      <c r="E42" s="11">
        <v>324925.5</v>
      </c>
      <c r="F42" s="11">
        <v>1070759.8600000001</v>
      </c>
    </row>
    <row r="43" spans="1:10" ht="15.6" x14ac:dyDescent="0.3">
      <c r="A43" s="7" t="s">
        <v>18</v>
      </c>
      <c r="B43" s="11">
        <v>352190.9</v>
      </c>
      <c r="C43" s="11">
        <v>392827.59</v>
      </c>
      <c r="D43" s="11">
        <v>403242.27</v>
      </c>
      <c r="E43" s="11">
        <v>352478.96</v>
      </c>
      <c r="F43" s="11">
        <v>1500739.72</v>
      </c>
    </row>
    <row r="44" spans="1:10" ht="15.6" x14ac:dyDescent="0.3">
      <c r="A44" s="7" t="s">
        <v>12</v>
      </c>
      <c r="B44" s="11">
        <v>415518.98</v>
      </c>
      <c r="C44" s="11">
        <v>370091.23</v>
      </c>
      <c r="D44" s="11">
        <v>344127.31</v>
      </c>
      <c r="E44" s="11">
        <v>318530.09999999998</v>
      </c>
      <c r="F44" s="11">
        <v>1448267.62</v>
      </c>
    </row>
    <row r="45" spans="1:10" ht="15.6" x14ac:dyDescent="0.3">
      <c r="A45" s="7" t="s">
        <v>37</v>
      </c>
      <c r="B45" s="11">
        <v>1660483.38</v>
      </c>
      <c r="C45" s="11">
        <v>1518854.17</v>
      </c>
      <c r="D45" s="11">
        <v>1649541.28</v>
      </c>
      <c r="E45" s="11">
        <v>1655114.02</v>
      </c>
      <c r="F45" s="11">
        <v>6483992.8499999996</v>
      </c>
    </row>
    <row r="46" spans="1:10" x14ac:dyDescent="0.3">
      <c r="F46" s="15"/>
      <c r="G46" s="15"/>
      <c r="H46" s="15"/>
      <c r="I46" s="15"/>
    </row>
    <row r="47" spans="1:10" ht="18" x14ac:dyDescent="0.35">
      <c r="A47" s="25" t="s">
        <v>51</v>
      </c>
      <c r="B47" s="25"/>
      <c r="C47" s="25"/>
      <c r="D47" s="25"/>
      <c r="E47" s="25"/>
      <c r="F47" s="15"/>
      <c r="G47" s="15"/>
      <c r="H47" s="15"/>
      <c r="I47" s="15"/>
    </row>
    <row r="48" spans="1:10" ht="15.6" x14ac:dyDescent="0.3">
      <c r="A48" s="5" t="s">
        <v>49</v>
      </c>
      <c r="B48" s="5" t="s">
        <v>42</v>
      </c>
      <c r="C48" s="9"/>
      <c r="D48" s="9"/>
      <c r="E48" s="9"/>
      <c r="F48" s="9"/>
      <c r="G48" s="9"/>
      <c r="H48" s="9"/>
      <c r="I48" s="15"/>
    </row>
    <row r="49" spans="1:9" ht="15.6" x14ac:dyDescent="0.3">
      <c r="A49" s="9"/>
      <c r="B49" s="9" t="s">
        <v>25</v>
      </c>
      <c r="C49" s="9"/>
      <c r="D49" s="9" t="s">
        <v>16</v>
      </c>
      <c r="E49" s="9"/>
      <c r="F49" s="9" t="s">
        <v>21</v>
      </c>
      <c r="G49" s="9"/>
      <c r="H49" s="9" t="s">
        <v>37</v>
      </c>
      <c r="I49" s="15"/>
    </row>
    <row r="50" spans="1:9" ht="15.6" x14ac:dyDescent="0.3">
      <c r="A50" s="5" t="s">
        <v>36</v>
      </c>
      <c r="B50" s="9" t="s">
        <v>15</v>
      </c>
      <c r="C50" s="9" t="s">
        <v>20</v>
      </c>
      <c r="D50" s="9" t="s">
        <v>15</v>
      </c>
      <c r="E50" s="9" t="s">
        <v>20</v>
      </c>
      <c r="F50" s="9" t="s">
        <v>15</v>
      </c>
      <c r="G50" s="9" t="s">
        <v>20</v>
      </c>
      <c r="H50" s="9"/>
    </row>
    <row r="51" spans="1:9" ht="15.6" x14ac:dyDescent="0.3">
      <c r="A51" s="7" t="s">
        <v>13</v>
      </c>
      <c r="B51" s="10">
        <v>55</v>
      </c>
      <c r="C51" s="10">
        <v>35</v>
      </c>
      <c r="D51" s="10">
        <v>44</v>
      </c>
      <c r="E51" s="10">
        <v>36</v>
      </c>
      <c r="F51" s="10">
        <v>39</v>
      </c>
      <c r="G51" s="10">
        <v>54</v>
      </c>
      <c r="H51" s="10">
        <v>263</v>
      </c>
    </row>
    <row r="52" spans="1:9" ht="15.6" x14ac:dyDescent="0.3">
      <c r="A52" s="7" t="s">
        <v>30</v>
      </c>
      <c r="B52" s="10">
        <v>44</v>
      </c>
      <c r="C52" s="10">
        <v>39</v>
      </c>
      <c r="D52" s="10">
        <v>47</v>
      </c>
      <c r="E52" s="10">
        <v>37</v>
      </c>
      <c r="F52" s="10">
        <v>54</v>
      </c>
      <c r="G52" s="10">
        <v>46</v>
      </c>
      <c r="H52" s="10">
        <v>267</v>
      </c>
    </row>
    <row r="53" spans="1:9" ht="15.6" x14ac:dyDescent="0.3">
      <c r="A53" s="7" t="s">
        <v>27</v>
      </c>
      <c r="B53" s="10">
        <v>35</v>
      </c>
      <c r="C53" s="10">
        <v>48</v>
      </c>
      <c r="D53" s="10">
        <v>35</v>
      </c>
      <c r="E53" s="10">
        <v>33</v>
      </c>
      <c r="F53" s="10">
        <v>34</v>
      </c>
      <c r="G53" s="10">
        <v>41</v>
      </c>
      <c r="H53" s="10">
        <v>226</v>
      </c>
    </row>
    <row r="54" spans="1:9" ht="15.6" x14ac:dyDescent="0.3">
      <c r="A54" s="7" t="s">
        <v>19</v>
      </c>
      <c r="B54" s="10">
        <v>47</v>
      </c>
      <c r="C54" s="10">
        <v>39</v>
      </c>
      <c r="D54" s="10">
        <v>34</v>
      </c>
      <c r="E54" s="10">
        <v>47</v>
      </c>
      <c r="F54" s="10">
        <v>36</v>
      </c>
      <c r="G54" s="10">
        <v>41</v>
      </c>
      <c r="H54" s="10">
        <v>244</v>
      </c>
    </row>
    <row r="55" spans="1:9" ht="15.6" x14ac:dyDescent="0.3">
      <c r="A55" s="7" t="s">
        <v>37</v>
      </c>
      <c r="B55" s="10">
        <v>181</v>
      </c>
      <c r="C55" s="10">
        <v>161</v>
      </c>
      <c r="D55" s="10">
        <v>160</v>
      </c>
      <c r="E55" s="10">
        <v>153</v>
      </c>
      <c r="F55" s="10">
        <v>163</v>
      </c>
      <c r="G55" s="10">
        <v>182</v>
      </c>
      <c r="H55" s="10">
        <v>1000</v>
      </c>
    </row>
  </sheetData>
  <mergeCells count="5">
    <mergeCell ref="A27:J27"/>
    <mergeCell ref="A37:F37"/>
    <mergeCell ref="A47:E47"/>
    <mergeCell ref="F7:I7"/>
    <mergeCell ref="A7:D7"/>
  </mergeCells>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A82F-391B-4058-A56E-BD2A7E300CEB}">
  <sheetPr>
    <pageSetUpPr autoPageBreaks="0"/>
  </sheetPr>
  <dimension ref="A1"/>
  <sheetViews>
    <sheetView showGridLines="0" zoomScale="70" zoomScaleNormal="83" workbookViewId="0">
      <selection activeCell="H51" sqref="H51"/>
    </sheetView>
  </sheetViews>
  <sheetFormatPr defaultRowHeight="14.4" x14ac:dyDescent="0.3"/>
  <cols>
    <col min="5" max="5" width="16.554687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D8AE2-04CD-479F-BF79-6104D5C68156}">
  <dimension ref="A1:A26"/>
  <sheetViews>
    <sheetView zoomScale="85" zoomScaleNormal="85" workbookViewId="0">
      <selection activeCell="F31" sqref="F31"/>
    </sheetView>
  </sheetViews>
  <sheetFormatPr defaultRowHeight="14.4" x14ac:dyDescent="0.3"/>
  <cols>
    <col min="1" max="1" width="168.44140625" bestFit="1" customWidth="1"/>
  </cols>
  <sheetData>
    <row r="1" spans="1:1" ht="31.2" x14ac:dyDescent="0.3">
      <c r="A1" s="17" t="s">
        <v>297</v>
      </c>
    </row>
    <row r="2" spans="1:1" x14ac:dyDescent="0.3">
      <c r="A2" s="18"/>
    </row>
    <row r="3" spans="1:1" x14ac:dyDescent="0.3">
      <c r="A3" t="s">
        <v>301</v>
      </c>
    </row>
    <row r="5" spans="1:1" x14ac:dyDescent="0.3">
      <c r="A5" t="s">
        <v>302</v>
      </c>
    </row>
    <row r="7" spans="1:1" x14ac:dyDescent="0.3">
      <c r="A7" t="s">
        <v>298</v>
      </c>
    </row>
    <row r="9" spans="1:1" x14ac:dyDescent="0.3">
      <c r="A9" t="s">
        <v>299</v>
      </c>
    </row>
    <row r="11" spans="1:1" x14ac:dyDescent="0.3">
      <c r="A11" t="s">
        <v>300</v>
      </c>
    </row>
    <row r="14" spans="1:1" ht="31.2" x14ac:dyDescent="0.3">
      <c r="A14" s="17" t="s">
        <v>303</v>
      </c>
    </row>
    <row r="16" spans="1:1" x14ac:dyDescent="0.3">
      <c r="A16" t="s">
        <v>304</v>
      </c>
    </row>
    <row r="18" spans="1:1" x14ac:dyDescent="0.3">
      <c r="A18" t="s">
        <v>305</v>
      </c>
    </row>
    <row r="20" spans="1:1" x14ac:dyDescent="0.3">
      <c r="A20" t="s">
        <v>306</v>
      </c>
    </row>
    <row r="22" spans="1:1" x14ac:dyDescent="0.3">
      <c r="A22" t="s">
        <v>307</v>
      </c>
    </row>
    <row r="24" spans="1:1" x14ac:dyDescent="0.3">
      <c r="A24" t="s">
        <v>308</v>
      </c>
    </row>
    <row r="26" spans="1:1" x14ac:dyDescent="0.3">
      <c r="A26" t="s">
        <v>309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5E691B-8DB0-4F80-A6FC-E82F3978CF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Raw Data</vt:lpstr>
      <vt:lpstr>Sales Data </vt:lpstr>
      <vt:lpstr>KPI Calculations</vt:lpstr>
      <vt:lpstr>Piviot Analysis</vt:lpstr>
      <vt:lpstr>Dashboard</vt:lpstr>
      <vt:lpstr>Insights and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VANSH BELANI</cp:lastModifiedBy>
  <dcterms:created xsi:type="dcterms:W3CDTF">2015-06-05T18:17:20Z</dcterms:created>
  <dcterms:modified xsi:type="dcterms:W3CDTF">2026-02-07T16:00:03Z</dcterms:modified>
</cp:coreProperties>
</file>